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unin.aa\Downloads\"/>
    </mc:Choice>
  </mc:AlternateContent>
  <xr:revisionPtr revIDLastSave="0" documentId="13_ncr:1_{53639F18-DDDF-41D0-B45E-164A914B0923}" xr6:coauthVersionLast="47" xr6:coauthVersionMax="47" xr10:uidLastSave="{00000000-0000-0000-0000-000000000000}"/>
  <bookViews>
    <workbookView xWindow="28680" yWindow="735" windowWidth="29040" windowHeight="15720" tabRatio="389" activeTab="3" xr2:uid="{00000000-000D-0000-FFFF-FFFF00000000}"/>
  </bookViews>
  <sheets>
    <sheet name="График ИД" sheetId="1" r:id="rId1"/>
    <sheet name="ИД труба" sheetId="2" r:id="rId2"/>
    <sheet name="ИД труба в плане" sheetId="6" r:id="rId3"/>
    <sheet name="График ИД по папкам" sheetId="4" r:id="rId4"/>
    <sheet name="ИД архив" sheetId="3" r:id="rId5"/>
    <sheet name="ИЗМЫ ПД" sheetId="5" r:id="rId6"/>
  </sheets>
  <externalReferences>
    <externalReference r:id="rId7"/>
  </externalReferences>
  <definedNames>
    <definedName name="_xlnm._FilterDatabase" localSheetId="0" hidden="1">'График ИД'!$D$2:$D$309</definedName>
    <definedName name="_xlnm.Print_Titles" localSheetId="0">'График ИД'!$2:$10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E42" i="3"/>
  <c r="D42" i="3"/>
  <c r="F41" i="3"/>
  <c r="E41" i="3"/>
  <c r="D41" i="3"/>
  <c r="F40" i="3"/>
  <c r="E40" i="3"/>
  <c r="D40" i="3"/>
  <c r="F39" i="3"/>
  <c r="E39" i="3"/>
  <c r="D39" i="3"/>
  <c r="F37" i="3"/>
  <c r="E37" i="3"/>
  <c r="D37" i="3"/>
  <c r="F34" i="3"/>
  <c r="E34" i="3"/>
  <c r="D34" i="3"/>
  <c r="F33" i="3"/>
  <c r="E33" i="3"/>
  <c r="D33" i="3"/>
  <c r="F32" i="3"/>
  <c r="E32" i="3"/>
  <c r="D32" i="3"/>
  <c r="F31" i="3"/>
  <c r="E31" i="3"/>
  <c r="D31" i="3"/>
  <c r="F29" i="3"/>
  <c r="E29" i="3"/>
  <c r="D29" i="3"/>
  <c r="F26" i="3"/>
  <c r="E26" i="3"/>
  <c r="F25" i="3"/>
  <c r="E25" i="3"/>
  <c r="F24" i="3"/>
  <c r="E24" i="3"/>
  <c r="F23" i="3"/>
  <c r="E23" i="3"/>
  <c r="D22" i="3"/>
  <c r="F21" i="3"/>
  <c r="E21" i="3"/>
  <c r="F18" i="3"/>
  <c r="E18" i="3"/>
  <c r="D18" i="3"/>
  <c r="F17" i="3"/>
  <c r="E17" i="3"/>
  <c r="D17" i="3"/>
  <c r="F16" i="3"/>
  <c r="E16" i="3"/>
  <c r="D16" i="3"/>
  <c r="F15" i="3"/>
  <c r="E15" i="3"/>
  <c r="D15" i="3"/>
  <c r="F13" i="3"/>
  <c r="E13" i="3"/>
  <c r="D13" i="3"/>
  <c r="E22" i="3" l="1"/>
  <c r="F38" i="3"/>
  <c r="E38" i="3"/>
  <c r="D14" i="3"/>
  <c r="E14" i="3"/>
  <c r="F14" i="3"/>
  <c r="D30" i="3"/>
  <c r="F30" i="3"/>
  <c r="E9" i="3"/>
  <c r="E8" i="3"/>
  <c r="E10" i="3" s="1"/>
  <c r="E30" i="3"/>
  <c r="D38" i="3"/>
  <c r="F22" i="3"/>
  <c r="O305" i="1" l="1"/>
  <c r="O303" i="1"/>
  <c r="O301" i="1"/>
  <c r="O299" i="1"/>
  <c r="O297" i="1"/>
  <c r="O295" i="1"/>
  <c r="N292" i="1"/>
  <c r="H290" i="1"/>
  <c r="I288" i="1"/>
  <c r="K285" i="1"/>
  <c r="L283" i="1"/>
  <c r="K281" i="1"/>
  <c r="L279" i="1"/>
  <c r="J277" i="1"/>
  <c r="L275" i="1"/>
  <c r="J273" i="1"/>
  <c r="I271" i="1"/>
  <c r="J268" i="1"/>
  <c r="J266" i="1"/>
  <c r="O262" i="1"/>
  <c r="O254" i="1"/>
  <c r="O252" i="1"/>
  <c r="O250" i="1"/>
  <c r="O248" i="1"/>
  <c r="O238" i="1"/>
  <c r="J235" i="1"/>
  <c r="J230" i="1"/>
  <c r="J226" i="1"/>
  <c r="I224" i="1"/>
  <c r="H220" i="1"/>
  <c r="L217" i="1"/>
  <c r="K215" i="1"/>
  <c r="K213" i="1"/>
  <c r="J211" i="1"/>
  <c r="J209" i="1"/>
  <c r="J207" i="1"/>
  <c r="I205" i="1"/>
  <c r="I203" i="1"/>
  <c r="I201" i="1"/>
  <c r="H199" i="1"/>
  <c r="J197" i="1"/>
  <c r="J195" i="1"/>
  <c r="G193" i="1"/>
  <c r="G2" i="1" s="1"/>
  <c r="G191" i="1"/>
  <c r="I189" i="1"/>
  <c r="G187" i="1"/>
  <c r="I185" i="1"/>
  <c r="K182" i="1"/>
  <c r="K180" i="1"/>
  <c r="I178" i="1"/>
  <c r="I176" i="1"/>
  <c r="I174" i="1"/>
  <c r="I172" i="1"/>
  <c r="I170" i="1"/>
  <c r="J168" i="1"/>
  <c r="O164" i="1"/>
  <c r="O156" i="1"/>
  <c r="N151" i="1"/>
  <c r="J149" i="1"/>
  <c r="J147" i="1"/>
  <c r="I145" i="1"/>
  <c r="K142" i="1"/>
  <c r="N140" i="1"/>
  <c r="J138" i="1"/>
  <c r="J136" i="1"/>
  <c r="N134" i="1"/>
  <c r="K132" i="1"/>
  <c r="K130" i="1"/>
  <c r="O126" i="1"/>
  <c r="O124" i="1"/>
  <c r="O122" i="1"/>
  <c r="O120" i="1"/>
  <c r="O118" i="1"/>
  <c r="O116" i="1"/>
  <c r="O113" i="1"/>
  <c r="H109" i="1"/>
  <c r="N107" i="1"/>
  <c r="L105" i="1"/>
  <c r="L100" i="1"/>
  <c r="L97" i="1"/>
  <c r="L95" i="1"/>
  <c r="L93" i="1"/>
  <c r="L91" i="1"/>
  <c r="L89" i="1"/>
  <c r="L87" i="1"/>
  <c r="L85" i="1"/>
  <c r="L83" i="1"/>
  <c r="L81" i="1"/>
  <c r="L79" i="1"/>
  <c r="K77" i="1"/>
  <c r="L75" i="1"/>
  <c r="L73" i="1"/>
  <c r="K71" i="1"/>
  <c r="L69" i="1"/>
  <c r="L67" i="1"/>
  <c r="L65" i="1"/>
  <c r="H62" i="1"/>
  <c r="H60" i="1"/>
  <c r="H58" i="1"/>
  <c r="H56" i="1"/>
  <c r="H54" i="1"/>
  <c r="H52" i="1"/>
  <c r="H48" i="1"/>
  <c r="H46" i="1"/>
  <c r="H44" i="1"/>
  <c r="H42" i="1"/>
  <c r="H40" i="1"/>
  <c r="H38" i="1"/>
  <c r="H36" i="1"/>
  <c r="H34" i="1"/>
  <c r="H32" i="1"/>
  <c r="H30" i="1"/>
  <c r="H28" i="1"/>
  <c r="H26" i="1"/>
  <c r="H24" i="1"/>
  <c r="H22" i="1"/>
  <c r="M2" i="1"/>
  <c r="F2" i="1"/>
  <c r="E2" i="1"/>
  <c r="N2" i="1" l="1"/>
  <c r="J2" i="1"/>
  <c r="I2" i="1"/>
  <c r="L2" i="1"/>
  <c r="K2" i="1"/>
  <c r="H2" i="1"/>
  <c r="O2" i="1"/>
  <c r="E130" i="4"/>
  <c r="E15" i="4"/>
  <c r="E33" i="4"/>
  <c r="E13" i="4"/>
  <c r="E12" i="4"/>
  <c r="E11" i="4"/>
  <c r="E10" i="4"/>
  <c r="E9" i="4"/>
  <c r="E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Владимир Михайлович</author>
    <author>tc={B3CED72B-4137-4DB7-93EF-7CE0A9BF0B88}</author>
    <author>User</author>
    <author>tc={6542AF3F-F1F3-4A49-BBAA-2A13B39B7391}</author>
  </authors>
  <commentList>
    <comment ref="P15" authorId="0" shapeId="0" xr:uid="{5CEA5C35-8852-4312-AF4C-C4B1A5F485AE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15" authorId="0" shapeId="0" xr:uid="{66B43472-8528-40D7-BFF6-5D64CD933DD8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
</t>
        </r>
      </text>
    </comment>
    <comment ref="R15" authorId="0" shapeId="0" xr:uid="{E3AB5A89-2F36-4052-8CE4-4139B5A2A46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P16" authorId="0" shapeId="0" xr:uid="{6D2FDF06-1025-4836-93DC-F0C27E5237D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15.01.26</t>
        </r>
      </text>
    </comment>
    <comment ref="P17" authorId="1" shapeId="0" xr:uid="{86217DA7-CEC9-481E-B620-ADB87016CC02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Отпр.на снятие на 25 неделе</t>
        </r>
      </text>
    </comment>
    <comment ref="P22" authorId="0" shapeId="0" xr:uid="{74137250-BD19-4151-91A9-FA1A8BE963C6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17.12.25</t>
        </r>
      </text>
    </comment>
    <comment ref="Q22" authorId="0" shapeId="0" xr:uid="{6DA414B6-1D47-44CF-A6BC-443CC2FFC24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
снято 20.05.26</t>
        </r>
      </text>
    </comment>
    <comment ref="R22" authorId="0" shapeId="0" xr:uid="{431BC79D-EAD6-4778-A94D-CE3A534CF69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
</t>
        </r>
      </text>
    </comment>
    <comment ref="P24" authorId="0" shapeId="0" xr:uid="{ECD383F9-0937-4854-9E87-F78EADA69F9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рем.работы+изм.в РД</t>
        </r>
      </text>
    </comment>
    <comment ref="P26" authorId="0" shapeId="0" xr:uid="{578BD95E-DC57-4D12-9FC9-6342328CFAE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17.12.25</t>
        </r>
      </text>
    </comment>
    <comment ref="Q26" authorId="0" shapeId="0" xr:uid="{BCE0C078-D54B-4226-A90A-5A56E9C5DA8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
</t>
        </r>
      </text>
    </comment>
    <comment ref="R26" authorId="0" shapeId="0" xr:uid="{A441F0B1-CE6A-47AA-A215-AAC93F6E14D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 3, 4-8, 14, 14.1-дефекты после испытания- рем.работы;  частичное снятие на 16 неделе, данные опоры сняты РСК из замечания</t>
        </r>
      </text>
    </comment>
    <comment ref="P32" authorId="0" shapeId="0" xr:uid="{8EBCF26D-FC25-4854-BD32-4530CB7E950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на 16 неделе</t>
        </r>
      </text>
    </comment>
    <comment ref="Q32" authorId="0" shapeId="0" xr:uid="{D5179AAC-CDE2-4B2A-9BB7-631737B03317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на 16 неделе</t>
        </r>
      </text>
    </comment>
    <comment ref="R32" authorId="0" shapeId="0" xr:uid="{56F52BF3-5EB9-4E81-9C59-9B6804CC131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Опн23, 24, 29, 30, 32, 34-39, 44, 45, 47 -дефекты после испытания- рем.работы;  частичное снятие на 16 неделе; данные опоры сняты РСК из замечания</t>
        </r>
      </text>
    </comment>
    <comment ref="S34" authorId="0" shapeId="0" xr:uid="{EAB56764-220A-4746-B60C-B5B5C467D12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Опн24, 58, 111.1-111.2, 114 -дефекты после испытания- рем.работы;  частичное снятие на 16 неделе; данные опоры  сняты РСК из замечания</t>
        </r>
      </text>
    </comment>
    <comment ref="P36" authorId="2" shapeId="0" xr:uid="{6F5A1B5E-5D2C-4BEE-A0A4-C9D7C049EB9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Внесено измен. В РД, подготовл. К снятию на 34 неделе, снято 17.08.26</t>
        </r>
      </text>
    </comment>
    <comment ref="Q36" authorId="0" shapeId="0" xr:uid="{8E582013-9753-42D0-BFCE-320E5C90460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14.05.26</t>
        </r>
      </text>
    </comment>
    <comment ref="R36" authorId="0" shapeId="0" xr:uid="{980ECBA3-D7D7-4E6F-9F89-872A5BBF387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14.05.26</t>
        </r>
      </text>
    </comment>
    <comment ref="P42" authorId="0" shapeId="0" xr:uid="{81C2306E-B3D7-4494-9C86-93A4DD60794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рем.работы+изм.в РД;  частичное снятие на 16 неделе- из замеч. удалены ОПн95,96,99,101,104,105,108-111,194-196,228,230-236 </t>
        </r>
      </text>
    </comment>
    <comment ref="Q42" authorId="0" shapeId="0" xr:uid="{A724F09A-0A3D-4C03-B30D-AE0EBAF50BC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рем.работы+изм.в РД; частичное снятие на 16 неделе_ исключены ОПн78, 79,81,82,84-90,92-96,99,101,104-105,108-111,194-196,228,230-239,243,245,247-249,251-253.2</t>
        </r>
      </text>
    </comment>
    <comment ref="R42" authorId="0" shapeId="0" xr:uid="{4BEB3922-3118-4CD6-852A-F4E40DC37433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Опн67-76, 78-82, 95-101, 104-111 -дефекты после испытания- рем.работы
 Опн227-232, 237-244, 251 -дефекты после испытания- рем.работы, частичное снятие на 16 неделе - из замеч.исключены ОПн67-73,76-79,81-82,93-96,99,101,104-105,108-111,228.230-232,237-239,243,251</t>
        </r>
      </text>
    </comment>
    <comment ref="P43" authorId="0" shapeId="0" xr:uid="{15A4EC31-B4E3-450D-A289-6004685D94B7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Откл.РСК, нужно измен.в РД, внесено изм в РД, подгот. К снятию на 27 неделе. Отклон.РСК-нужна доработка+ измен.в РД</t>
        </r>
      </text>
    </comment>
    <comment ref="P46" authorId="0" shapeId="0" xr:uid="{8541D5F5-99D8-4649-B658-B37669825C3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ОПн120.1, внесено изм. В РД, подготовл.к снятию на 34 неделе, снято 17.08.26</t>
        </r>
      </text>
    </comment>
    <comment ref="Q46" authorId="0" shapeId="0" xr:uid="{92A6F42E-05D1-4D68-9122-0484EAA3902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Опн118-120.1, 123, 124, 153 -дефекты после испытания- рем.работы;  частичное снятие на 16 неделе- исключ.из замеч.ОПн123,124.153</t>
        </r>
      </text>
    </comment>
    <comment ref="P48" authorId="0" shapeId="0" xr:uid="{455AEA75-A31F-4CCE-ACEA-558BE1F9BDB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P50" authorId="0" shapeId="0" xr:uid="{061287C8-D18B-4D74-AC06-111D36CB7148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Опн125, 142 -дефекты после испытания- рем.работы</t>
        </r>
      </text>
    </comment>
    <comment ref="Q50" authorId="0" shapeId="0" xr:uid="{D6C35F82-FFCE-403E-83EA-865DBF373ED7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ОПн140-141, нужно изм.в РД, прием заказчиком</t>
        </r>
      </text>
    </comment>
    <comment ref="R50" authorId="0" shapeId="0" xr:uid="{2D69E5FD-3961-4CB6-AFBE-B5551F585EA0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Опн126, 130-141, 143 -дефекты после испытания- рем.работы</t>
        </r>
      </text>
    </comment>
    <comment ref="P52" authorId="0" shapeId="0" xr:uid="{3C18CA47-15AB-42C6-ABBB-6419848CEE8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рем.работы</t>
        </r>
      </text>
    </comment>
    <comment ref="Q52" authorId="0" shapeId="0" xr:uid="{6F168342-A283-4ECD-A7E4-17B5E9D2DC6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Н20, Снято 10.12.25</t>
        </r>
      </text>
    </comment>
    <comment ref="P54" authorId="0" shapeId="0" xr:uid="{920A7037-AEC4-4F61-9215-17D4C001FBF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ОПв17,нужно  изм.в РД</t>
        </r>
      </text>
    </comment>
    <comment ref="P58" authorId="0" shapeId="0" xr:uid="{CEC1CBE4-5E3A-4BC1-9134-5D48D147A15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Н35, внесено измен. РД, подготовлено к снятию на 34 неделе, снято 17.08.26</t>
        </r>
      </text>
    </comment>
    <comment ref="P60" authorId="0" shapeId="0" xr:uid="{9AD68A2C-FEC4-40D0-BEDA-EFF20DCFB488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Опн54-82,93-111.2,114,123-143,153-157, 160-164,166 -дефекты после испытания- рем.работы; частичное снятие на 16 неделе;исключ.из замеч. ОПн54-65,67-73,76-79,81-82,93-96,99,101,103-105,108-111,111.2,114,123-125,128-129,132-133,135-136,138-139,153-157,160-164,166</t>
        </r>
      </text>
    </comment>
    <comment ref="O62" authorId="0" shapeId="0" xr:uid="{814553A1-7E76-4984-91BF-F60854CE278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 Опн169,201-203,211-220, 225-226 -дефекты после испытания- рем.работы, частич. Снятие на 16 неделе, исключ.из замеч.ОПн169,201-202,211-212,218-220.</t>
        </r>
      </text>
    </comment>
    <comment ref="P62" authorId="0" shapeId="0" xr:uid="{C8B19EC9-BF56-409F-89A8-2041A6AD4E3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рем.работы; частичное снятие на 16 неделе-из замеч.исключены ОПн170,180,197-198,201-202,204,206,208,210-212,218-224; замеч.52 снято 17.06.26</t>
        </r>
      </text>
    </comment>
    <comment ref="Q62" authorId="0" shapeId="0" xr:uid="{FA3E0BE1-629B-4EFE-BF27-A7613CE8D636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Откл.РСК, нужно измен.в РД, внесено изм в РД, подгот. К снятию на 27 неделе. Отклон.РСК-нужна доработка+ измен.в РД</t>
        </r>
      </text>
    </comment>
    <comment ref="R62" authorId="0" shapeId="0" xr:uid="{A611B91E-7C1A-4DF4-A18D-6B3A330F0B18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Откл.РСК, нужно измен.в РД, внесено изм в РД, подгот. К снятию на 27 неделе. Отклон.РСК-нужна доработка+ измен.в РД</t>
        </r>
      </text>
    </comment>
    <comment ref="S62" authorId="0" shapeId="0" xr:uid="{FD4E447E-C493-43FB-9B98-FBA55EC8085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Откл.РСК, нужно измен.в РД, внесено изм в РД, подгот. К снятию на 27 неделе. Отклон.РСК-нужна доработка+ измен.в РД</t>
        </r>
      </text>
    </comment>
    <comment ref="P71" authorId="0" shapeId="0" xr:uid="{C42AD556-6F28-459F-AC7D-97A78AE7726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ПД после Эксперт., внесено изм. В ПД/РД, подготовл. К снятию на 34 неделе, снято 17.08.26</t>
        </r>
      </text>
    </comment>
    <comment ref="Q71" authorId="0" shapeId="0" xr:uid="{08F46E6E-3772-40E4-A8FF-AE1B8473F72E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ПД после Эксперт.</t>
        </r>
      </text>
    </comment>
    <comment ref="R71" authorId="0" shapeId="0" xr:uid="{3F23D600-72B5-45E1-AE20-E3B4DF71C39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 В РД, внесено изм. В РД, подготовл. К снятию на 34 неделе, снято 17.08.26</t>
        </r>
      </text>
    </comment>
    <comment ref="P77" authorId="0" shapeId="0" xr:uid="{29EAC9FD-6337-4471-A099-38C36355DB8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ПД после Эксперт., внесено изм. В ПД/РД, подготовл. К снятию на 34 неделе, снято 17.08.26</t>
        </r>
      </text>
    </comment>
    <comment ref="Q77" authorId="3" shapeId="0" xr:uid="{09BF0855-D900-4606-8970-B86AE0203CB7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Техреш.- отвод вод+ восстан.</t>
        </r>
      </text>
    </comment>
    <comment ref="O89" authorId="0" shapeId="0" xr:uid="{73577348-C53B-4F0E-9463-33A6ED3532C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 В РД, внесено изм. В РД, подготовл. К снятию на 34 неделе, снято 17.08.26</t>
        </r>
      </text>
    </comment>
    <comment ref="P89" authorId="0" shapeId="0" xr:uid="{01A88D64-606D-4C1B-A35F-EB393235ED7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ПД после Эксперт., внесено изм. В ПД/РД, подготовл. К снятию на 34 неделе, снято 17.08.26</t>
        </r>
      </text>
    </comment>
    <comment ref="Q89" authorId="0" shapeId="0" xr:uid="{3067B7DF-3D04-4034-AAC2-6BB1F814D8A6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 В РД</t>
        </r>
      </text>
    </comment>
    <comment ref="R89" authorId="0" shapeId="0" xr:uid="{1F33897A-217D-435B-84E5-9E920DC10E66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04.02.26
</t>
        </r>
      </text>
    </comment>
    <comment ref="S89" authorId="0" shapeId="0" xr:uid="{80F7E6CF-C04D-482D-BDEA-CA6E9B24B380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17.02.26
</t>
        </r>
      </text>
    </comment>
    <comment ref="O93" authorId="0" shapeId="0" xr:uid="{94B59FED-E7B7-476E-B5DE-1BE2E96B21CD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 В РД, внесено изм. В РД, подготовл. К снятию на 34 неделе, снято 17.08.26</t>
        </r>
      </text>
    </comment>
    <comment ref="P93" authorId="0" shapeId="0" xr:uid="{5819767F-AAD7-4CEB-A33A-A060EA17281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ПД после Эксперт., внесено изм. В ПД/РД, подготовл. К снятию на 34 неделе, снято 17.08.26</t>
        </r>
      </text>
    </comment>
    <comment ref="Q93" authorId="0" shapeId="0" xr:uid="{B072AC50-4389-4A5A-80EB-05CD9397E30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ПД после эксперт.</t>
        </r>
      </text>
    </comment>
    <comment ref="R93" authorId="0" shapeId="0" xr:uid="{5D49763F-A55B-43ED-81FB-766700408DA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в РД предлож.ДПР техрешение</t>
        </r>
      </text>
    </comment>
    <comment ref="S93" authorId="0" shapeId="0" xr:uid="{58334D06-39F3-4948-A074-4A0EEAC5BF2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РД</t>
        </r>
      </text>
    </comment>
    <comment ref="P102" authorId="0" shapeId="0" xr:uid="{175B2FA9-B867-4B16-981A-8AF3B9DB67A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внести измен.в РД</t>
        </r>
      </text>
    </comment>
    <comment ref="P103" authorId="2" shapeId="0" xr:uid="{28C48062-27A6-45B9-B141-D2DF662DDCC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работы проведены, нужна проверка геодез. И принятие РСК</t>
        </r>
      </text>
    </comment>
    <comment ref="P105" authorId="0" shapeId="0" xr:uid="{207C1D77-A7AF-439D-BE4A-39D7701229D7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подготовлена, но не принята РСК</t>
        </r>
      </text>
    </comment>
    <comment ref="Q105" authorId="0" shapeId="0" xr:uid="{1D4BA0FA-2F5E-4398-B1B0-8825D4999FFE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внести измен.в РД</t>
        </r>
      </text>
    </comment>
    <comment ref="P107" authorId="0" shapeId="0" xr:uid="{26E40B93-53C9-43E4-9D5E-66A8E2184FE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изм.в РД</t>
        </r>
      </text>
    </comment>
    <comment ref="P109" authorId="0" shapeId="0" xr:uid="{A8558E2B-9DAC-41CD-B39C-2FDD99F2444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подготовлена, но не принята РСК</t>
        </r>
      </text>
    </comment>
    <comment ref="P113" authorId="0" shapeId="0" xr:uid="{288FD165-6D8E-4754-B5CF-991788FCDF7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15.01.26</t>
        </r>
      </text>
    </comment>
    <comment ref="P130" authorId="0" shapeId="0" xr:uid="{A82BFF35-219C-4951-A4F5-A7CF299E553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17.12.25
</t>
        </r>
      </text>
    </comment>
    <comment ref="P132" authorId="0" shapeId="0" xr:uid="{FA324D1C-BFB8-433A-B084-8A13E371FDA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17.12.25
</t>
        </r>
      </text>
    </comment>
    <comment ref="Q132" authorId="0" shapeId="0" xr:uid="{95C7C163-3A2A-459A-BDAB-2B0247757CD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20.05.26</t>
        </r>
      </text>
    </comment>
    <comment ref="R132" authorId="2" shapeId="0" xr:uid="{CA86B16F-D903-4D2C-BF52-0D41A10B8E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Техрешение есть, нужны работы по нему</t>
        </r>
      </text>
    </comment>
    <comment ref="Q138" authorId="0" shapeId="0" xr:uid="{F9B32919-96CE-4D7C-8E2E-D91B672D851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21.01.26</t>
        </r>
      </text>
    </comment>
    <comment ref="R138" authorId="0" shapeId="0" xr:uid="{8BC3C404-D7BF-425B-8736-F28300BD90B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нужно техрешение по по защите обнаж.арматуры при увелич.зазора</t>
        </r>
      </text>
    </comment>
    <comment ref="P142" authorId="0" shapeId="0" xr:uid="{26E9D22A-CCEF-421B-865B-52E20B997D5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142" authorId="0" shapeId="0" xr:uid="{DE33FD58-9FD5-4465-91EE-A6AB4117ADF4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17.12.25
</t>
        </r>
      </text>
    </comment>
    <comment ref="R142" authorId="0" shapeId="0" xr:uid="{8189E74B-FF0A-4782-A1BE-3CC78F0D34C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18.03.26</t>
        </r>
      </text>
    </comment>
    <comment ref="P145" authorId="0" shapeId="0" xr:uid="{32C611F7-0A7A-4A5C-9101-5050E23F171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подготовлена, но не принята РСК</t>
        </r>
      </text>
    </comment>
    <comment ref="Q145" authorId="2" shapeId="0" xr:uid="{03938FAC-0E28-4177-8982-856D2CB8268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снято 09.06.26</t>
        </r>
      </text>
    </comment>
    <comment ref="R145" authorId="0" shapeId="0" xr:uid="{D55DAFB8-5C31-4396-A363-72B726D9944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заполнить ЖСР</t>
        </r>
      </text>
    </comment>
    <comment ref="P151" authorId="0" shapeId="0" xr:uid="{A4FFFB71-7987-49B9-ACEA-25E86209E5CD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измен. В РД</t>
        </r>
      </text>
    </comment>
    <comment ref="P170" authorId="0" shapeId="0" xr:uid="{CCCE140A-BCFA-4F29-B12A-E62A9FF51F44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
</t>
        </r>
      </text>
    </comment>
    <comment ref="P172" authorId="0" shapeId="0" xr:uid="{4A2B9BA2-3E11-4F70-9A4F-8F2C10295A4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
</t>
        </r>
      </text>
    </comment>
    <comment ref="P185" authorId="0" shapeId="0" xr:uid="{5E82747E-D107-442C-AED3-6537FB6B875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185" authorId="0" shapeId="0" xr:uid="{D2190A30-6F4D-4CB7-9DEA-782D22EB12A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R185" authorId="0" shapeId="0" xr:uid="{C9EBE189-84D8-4DF2-B4D8-B8C3B48B2BC0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18.03.26</t>
        </r>
      </text>
    </comment>
    <comment ref="P187" authorId="0" shapeId="0" xr:uid="{BBFCFEAB-FC76-4FA9-9CAF-897CE7F8C603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МихайловичСнято-21.01.26</t>
        </r>
      </text>
    </comment>
    <comment ref="Q187" authorId="0" shapeId="0" xr:uid="{3857B452-FC3B-4B20-A6E9-9F49A4FCA02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P191" authorId="0" shapeId="0" xr:uid="{563F6AF5-12C0-4B20-8E93-5A43DCD4DA7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191" authorId="0" shapeId="0" xr:uid="{BC95FD84-CA6B-48FF-A463-495DDD92703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04.02.26</t>
        </r>
      </text>
    </comment>
    <comment ref="P199" authorId="0" shapeId="0" xr:uid="{20BBE50D-B0CB-4F04-95FC-B165AC1A1127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внесены изм.в ПОС, подгот.к снятию на 27 неделе, снято 02.07.26</t>
        </r>
      </text>
    </comment>
    <comment ref="Q199" authorId="0" shapeId="0" xr:uid="{A41A8BA0-45C2-4EC3-A0B2-6AB58126FF87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03.12.25</t>
        </r>
      </text>
    </comment>
    <comment ref="R199" authorId="0" shapeId="0" xr:uid="{B117A2F8-CF67-4D44-9B8C-DACFC596524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Счнято 21.01.26</t>
        </r>
      </text>
    </comment>
    <comment ref="P201" authorId="0" shapeId="0" xr:uid="{953517C2-9AFD-4C11-B0BD-D25EE1E0C68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внесены изм.в ПОС, подгот.к снятию на 27 неделе, снято 02.07.26</t>
        </r>
      </text>
    </comment>
    <comment ref="P207" authorId="0" shapeId="0" xr:uid="{63F3D89F-4FD5-42BC-8DBB-2FCCFB5E22A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21.01.26</t>
        </r>
      </text>
    </comment>
    <comment ref="Q207" authorId="0" shapeId="0" xr:uid="{4E5EF903-1F44-40ED-96C8-D30C08A4D93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20.05.26</t>
        </r>
      </text>
    </comment>
    <comment ref="P209" authorId="0" shapeId="0" xr:uid="{E83D3157-8CB7-48D6-BBE1-C7CDC1A4809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20.05.26</t>
        </r>
      </text>
    </comment>
    <comment ref="P213" authorId="0" shapeId="0" xr:uid="{6542488B-4CE0-4024-A27B-5472D0F76F0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P215" authorId="0" shapeId="0" xr:uid="{E50AC879-FE3E-40C9-A1BB-5F2841824748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215" authorId="0" shapeId="0" xr:uid="{1B605D58-3C3F-4883-8C75-8BC494744AF1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18.03.26</t>
        </r>
      </text>
    </comment>
    <comment ref="P217" authorId="0" shapeId="0" xr:uid="{14BC0873-D6BC-4064-AB5E-CA4CA4B8E80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нужен протокол уплотнения</t>
        </r>
      </text>
    </comment>
    <comment ref="Q217" authorId="0" shapeId="0" xr:uid="{8AA92ED6-7342-4D43-87FB-B8857A35AAF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18.03.26
</t>
        </r>
      </text>
    </comment>
    <comment ref="P224" authorId="0" shapeId="0" xr:uid="{B0AFD014-CA95-496B-906A-3B7286A16CE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не заполнен ЖСР</t>
        </r>
      </text>
    </comment>
    <comment ref="P226" authorId="0" shapeId="0" xr:uid="{346895A8-CA0A-4771-AED7-7926693A6E3D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изм в РД</t>
        </r>
      </text>
    </comment>
    <comment ref="Q226" authorId="0" shapeId="0" xr:uid="{53D12752-DBD2-4B56-B223-261BD5573A7C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будут приним.Заказчиком с подпис.АОСР</t>
        </r>
      </text>
    </comment>
    <comment ref="R226" authorId="0" shapeId="0" xr:uid="{6AF5D187-1A9A-4047-A87F-313FEC2CFD8A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изм в РД</t>
        </r>
      </text>
    </comment>
    <comment ref="S226" authorId="2" shapeId="0" xr:uid="{C0779137-016B-407B-9EB0-096703F6A048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весено изм.в РД, подгот. К снятию на 28 неделе, Отклон.РСК-нужна дораб.+ измен.в РД</t>
        </r>
      </text>
    </comment>
    <comment ref="P268" authorId="0" shapeId="0" xr:uid="{6CF5A1EF-79A3-4A38-988D-D5A2EED4B72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нет протоколов уплотн.</t>
        </r>
      </text>
    </comment>
    <comment ref="P271" authorId="0" shapeId="0" xr:uid="{BA78D354-0DD4-48CE-AAC0-886310CF8EDD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271" authorId="0" shapeId="0" xr:uid="{6C715BE1-318A-4C20-AF27-088CCFBC374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P273" authorId="0" shapeId="0" xr:uid="{55A14FF3-43FA-4123-B7F4-6B9444E00A0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P277" authorId="0" shapeId="0" xr:uid="{A51B0E09-CA86-4085-89EE-5A2DA9575076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277" authorId="0" shapeId="0" xr:uid="{17901BE7-54AA-486B-8317-C34FB4568159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04.02.26</t>
        </r>
      </text>
    </comment>
    <comment ref="P281" authorId="0" shapeId="0" xr:uid="{2763FCD1-DD88-4005-B636-CA454D5DDC6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281" authorId="0" shapeId="0" xr:uid="{B5010D32-47B7-44BF-9B5D-9F167D320FED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04.02.26</t>
        </r>
      </text>
    </comment>
    <comment ref="P285" authorId="0" shapeId="0" xr:uid="{AF313C1D-4821-4481-866F-28241983B38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02.04.26</t>
        </r>
      </text>
    </comment>
    <comment ref="Q285" authorId="0" shapeId="0" xr:uid="{31F7758D-4D7A-4C88-AFBD-61E892FDDEEF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04.02.26</t>
        </r>
      </text>
    </comment>
    <comment ref="P288" authorId="0" shapeId="0" xr:uid="{735DCD92-3BE3-4531-B576-14D7C5BC3B05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подготовлена, но не принята РСК</t>
        </r>
      </text>
    </comment>
    <comment ref="Q288" authorId="0" shapeId="0" xr:uid="{899CAA1E-569A-4CAD-B48A-E2D9BF744D7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04.02.26</t>
        </r>
      </text>
    </comment>
    <comment ref="R288" authorId="0" shapeId="0" xr:uid="{8F3A6D6E-8A2E-4696-8CB5-99CC01ABF30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снято 09.06.26</t>
        </r>
      </text>
    </comment>
    <comment ref="P290" authorId="0" shapeId="0" xr:uid="{C16CE31B-A547-4BA2-B959-791BF83E46C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подготовлена, но не принята РСК</t>
        </r>
      </text>
    </comment>
    <comment ref="P299" authorId="0" shapeId="0" xr:uid="{4505095D-E337-4E79-B697-CF413A758DDB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изм. В РД</t>
        </r>
      </text>
    </comment>
    <comment ref="P301" authorId="0" shapeId="0" xr:uid="{59FE9ED8-B6A5-4CA7-8098-897C019038BD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б.приниматься заказчиком с подпис.АОСР</t>
        </r>
      </text>
    </comment>
    <comment ref="Q301" authorId="0" shapeId="0" xr:uid="{D805C29C-3B76-42B0-AD18-852207251CD3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изм. В РД</t>
        </r>
      </text>
    </comment>
    <comment ref="P303" authorId="0" shapeId="0" xr:uid="{9E6CBA93-4E40-482E-9ED0-9BE1679E45E3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б.приниматься заказчиком с подпис.АОСР</t>
        </r>
      </text>
    </comment>
    <comment ref="Q303" authorId="0" shapeId="0" xr:uid="{9797B32D-6ABE-421F-AAA4-18EFE9E51242}">
      <text>
        <r>
          <rPr>
            <b/>
            <sz val="9"/>
            <color indexed="81"/>
            <rFont val="Tahoma"/>
            <family val="2"/>
            <charset val="204"/>
          </rPr>
          <t>Владимир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внести изм. В РД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Денисов Максим Владимирович</author>
    <author>Ермилова Вера Николаевна</author>
    <author>Перфилов Александр Владимирович</author>
  </authors>
  <commentList>
    <comment ref="J5" authorId="0" shapeId="0" xr:uid="{F8667699-E7AA-44A5-9AFA-76A6C5E5FBF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K5" authorId="0" shapeId="0" xr:uid="{D32B3E5A-8DE5-494D-BF63-BE8EDE4A700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L5" authorId="0" shapeId="0" xr:uid="{0F807F40-A748-4F58-81CE-DAABB92BF46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M5" authorId="0" shapeId="0" xr:uid="{170BA39B-8DB4-4DD4-ABBC-D6EE13A8DDB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Передано в РСК 14.07.2026
В АОСР указан ИЗМ . 21 
АОСР необходимо подписать до выхода следующего изм.
</t>
        </r>
      </text>
    </comment>
    <comment ref="O5" authorId="0" shapeId="0" xr:uid="{EA1EE390-147C-42F9-A2D7-3A4B6AEA69EB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На подписи у Зотова срок подписание до 24.07.2026
</t>
        </r>
      </text>
    </comment>
    <comment ref="P5" authorId="0" shapeId="0" xr:uid="{D9C62B92-4A07-4AE9-AA91-4AB52F08F70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5" authorId="0" shapeId="0" xr:uid="{B41D5069-D43D-46F3-9BB4-EEDF868565BB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6" authorId="0" shapeId="0" xr:uid="{E1C55502-98DB-4D2D-8EF8-77C11C80520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K6" authorId="0" shapeId="0" xr:uid="{E542A7F4-F720-4E3E-9AD1-9DFB1DAF926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L6" authorId="0" shapeId="0" xr:uid="{57FDE187-C64F-4C04-A407-C2486AACE6B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M6" authorId="0" shapeId="0" xr:uid="{F5967A47-61B2-447E-A219-BA195F1C091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Передано в РСК 14.07.2026
В АОСР указан ИЗМ . 21 
АОСР необходимо подписать до выхода следующего изм.
</t>
        </r>
      </text>
    </comment>
    <comment ref="O6" authorId="0" shapeId="0" xr:uid="{1FDE1E09-0C9B-4148-B48B-260A44B92F4B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Проверена, необходимо собрать подписи в АОСР.
</t>
        </r>
      </text>
    </comment>
    <comment ref="P6" authorId="0" shapeId="0" xr:uid="{6FE3CB4F-E732-45CD-BCFE-D7D55DB8412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6" authorId="0" shapeId="0" xr:uid="{63A76B27-3056-41CB-A405-511407EBA87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7" authorId="0" shapeId="0" xr:uid="{0FFE643A-0A8E-4A55-9946-E03554A0431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K7" authorId="0" shapeId="0" xr:uid="{745186D2-3478-4CD8-B7AE-1A516625FAF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L7" authorId="0" shapeId="0" xr:uid="{7655C68F-F85B-42BD-98D7-516F954A88E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M7" authorId="0" shapeId="0" xr:uid="{9C5C6E45-F0D0-4392-99E1-8E228636947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Передано в РСК 14.07.2026
В АОСР указан ИЗМ . 21 
АОСР необходимо подписать до выхода следующего изм.
</t>
        </r>
      </text>
    </comment>
    <comment ref="O7" authorId="0" shapeId="0" xr:uid="{7F2FADD3-8537-48F5-9D92-AC658EB40189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Проверена, необходимо собрать подписи в АОСР.
</t>
        </r>
      </text>
    </comment>
    <comment ref="P7" authorId="0" shapeId="0" xr:uid="{E23FE960-D70B-4A81-9D9D-4D2BA25DE62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7" authorId="0" shapeId="0" xr:uid="{751602B0-F72D-4E58-B8A2-CD224A28FE6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8" authorId="0" shapeId="0" xr:uid="{EE4B3E8C-BCB0-4F24-ACA7-068A9427D2D4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K8" authorId="0" shapeId="0" xr:uid="{2E8227A4-3FF0-4CA8-9406-81C6687B181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L8" authorId="0" shapeId="0" xr:uid="{5DE4346E-B25B-4055-BA18-424BEC557A1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Исправлено, формируется для передачи на подпись
РСК
</t>
        </r>
      </text>
    </comment>
    <comment ref="M8" authorId="0" shapeId="0" xr:uid="{8BB670BB-37E6-4B7D-B296-9B17B7AFC54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Передано в РСК 14.07.2026
В АОСР указан ИЗМ . 21 
АОСР необходимо подписать до выхода следующего изм.
</t>
        </r>
      </text>
    </comment>
    <comment ref="O8" authorId="0" shapeId="0" xr:uid="{C63E8A98-8DA3-4629-B206-A500B588AED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Проверена, необходимо собрать подписи в АОСР.
</t>
        </r>
      </text>
    </comment>
    <comment ref="P8" authorId="0" shapeId="0" xr:uid="{93490809-E6AA-47BB-B5DA-053DC4E515E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8" authorId="0" shapeId="0" xr:uid="{579E43D6-DA75-4ADC-B634-F374685766E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Готово к подписанию. 
Срок подписание до 05.08.2026 г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9" authorId="0" shapeId="0" xr:uid="{44CA2337-AD02-4A9B-BCB8-137EAB4618C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L9" authorId="0" shapeId="0" xr:uid="{22A9A504-DEE3-40D6-8CB8-FE7C94E02464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</t>
        </r>
      </text>
    </comment>
    <comment ref="O9" authorId="0" shapeId="0" xr:uid="{9157FADC-4080-4DE9-8E5B-D306508C891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9" authorId="0" shapeId="0" xr:uid="{A44633FF-86E1-4FC5-8E94-0046B0AA80B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9" authorId="0" shapeId="0" xr:uid="{F05042B3-FA50-4D53-A06F-08935B7FD47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9" authorId="0" shapeId="0" xr:uid="{6872F34B-5857-4B8E-99A6-F60B930D7E8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9" authorId="0" shapeId="0" xr:uid="{40541C07-FDC2-4B51-B1B1-BC467AB5041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
 на проверку до 04.09.2026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10" authorId="0" shapeId="0" xr:uid="{262A3B2F-8EDB-42B3-9B9B-F437834EBB1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L10" authorId="0" shapeId="0" xr:uid="{005666EE-7049-4BBE-9B6D-3E92600DE1BB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O10" authorId="0" shapeId="0" xr:uid="{45367CB9-B985-4B99-9725-C01A2876B279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10" authorId="0" shapeId="0" xr:uid="{8E9E04F4-D5CE-43F6-AB6D-F7B4D0AE792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10" authorId="0" shapeId="0" xr:uid="{9172DF8B-D163-48CC-A22F-8A9F1C0DE04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0" authorId="0" shapeId="0" xr:uid="{232A3655-9EC1-4EF3-BA1E-F5AEE08A8CA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0" authorId="0" shapeId="0" xr:uid="{5EDF74C4-3A83-4AE3-B127-25EA4DA9A16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
 на проверку до 04.09.2026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11" authorId="0" shapeId="0" xr:uid="{BAA1025B-B140-434B-8052-5A744821073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L11" authorId="0" shapeId="0" xr:uid="{96F6547A-F007-46FC-A9E3-ED30A5927E8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O11" authorId="0" shapeId="0" xr:uid="{8CDF9DAD-79CE-44A5-BFF6-A9E1E5AD7614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11" authorId="0" shapeId="0" xr:uid="{863AF4D5-D7BF-40F3-B231-A7C0B88267C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11" authorId="0" shapeId="0" xr:uid="{73197401-DFB3-4ADC-8C09-2A02ED0CB629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1" authorId="0" shapeId="0" xr:uid="{8598713C-1FFA-4974-A096-BE60B514090E}">
      <text>
        <r>
          <rPr>
            <b/>
            <sz val="9"/>
            <color indexed="81"/>
            <rFont val="Tahoma"/>
            <family val="2"/>
            <charset val="204"/>
          </rPr>
          <t xml:space="preserve">Денисов Максим Владимирович:
</t>
        </r>
        <r>
          <rPr>
            <sz val="16"/>
            <color indexed="81"/>
            <rFont val="Tahoma"/>
            <family val="2"/>
            <charset val="204"/>
          </rPr>
          <t xml:space="preserve">Корректировка ИД педача в РСК 14.06.26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1" authorId="0" shapeId="0" xr:uid="{82A1D8B7-AC24-4E37-A633-7F58EEE29CDF}">
      <text>
        <r>
          <rPr>
            <b/>
            <sz val="9"/>
            <color indexed="81"/>
            <rFont val="Tahoma"/>
            <charset val="1"/>
          </rPr>
          <t>Денисов Максим Владимирович: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8"/>
            <color indexed="81"/>
            <rFont val="Tahoma"/>
            <family val="2"/>
            <charset val="204"/>
          </rPr>
          <t>Передача
на проверку до 04.09.2026</t>
        </r>
      </text>
    </comment>
    <comment ref="L12" authorId="0" shapeId="0" xr:uid="{658F35F5-3E98-449B-9CA8-12F13DE8CA4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O12" authorId="0" shapeId="0" xr:uid="{E447E78A-7212-4AA1-A6CC-933568A4E1D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12" authorId="0" shapeId="0" xr:uid="{885AE101-A0D5-449E-8A59-D2336753325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12" authorId="0" shapeId="0" xr:uid="{5917DB68-4E7F-439C-9A06-3075063D31C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2" authorId="0" shapeId="0" xr:uid="{C82D4524-49F3-4290-A265-FDEC38FB096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2" authorId="0" shapeId="0" xr:uid="{F5BA59D0-A245-493A-92A8-F901D385130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8"/>
            <color indexed="81"/>
            <rFont val="Tahoma"/>
            <family val="2"/>
            <charset val="204"/>
          </rPr>
          <t>Передача на проверку до 04.09.2026</t>
        </r>
      </text>
    </comment>
    <comment ref="M13" authorId="0" shapeId="0" xr:uid="{37C856C0-0BC9-4302-9B80-21F2CFC5BF4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N13" authorId="0" shapeId="0" xr:uid="{AA293DEA-B060-4370-BCDD-E2647C3B908A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O13" authorId="0" shapeId="0" xr:uid="{3B79969E-1249-4E32-B97D-E28C721544FA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 схемам замечание устранены, вносятся коректировки в АОСР согласно последнего изм.
</t>
        </r>
      </text>
    </comment>
    <comment ref="P13" authorId="0" shapeId="0" xr:uid="{C6D20B98-ECD9-4E07-BBAB-4CCC34AF926B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13" authorId="0" shapeId="0" xr:uid="{B941A2CE-A254-4B07-B1D4-0AE0F016793B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3" authorId="0" shapeId="0" xr:uid="{4152DDAA-E34D-4D55-A173-7F51EBD6A8D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3" authorId="0" shapeId="0" xr:uid="{5A6FD353-7299-4BD3-A864-D1EC2EFFE48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8"/>
            <color indexed="81"/>
            <rFont val="Tahoma"/>
            <family val="2"/>
            <charset val="204"/>
          </rPr>
          <t>Перечача на проверку до 04.09.2026</t>
        </r>
      </text>
    </comment>
    <comment ref="O14" authorId="0" shapeId="0" xr:uid="{FE73A24F-A803-476A-BFA3-F622EFE01CE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Q14" authorId="0" shapeId="0" xr:uid="{CF3B134F-6118-416A-B61B-AB44FE613AD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4" authorId="0" shapeId="0" xr:uid="{4AA2CABC-D499-4924-9A51-38E9F845DC4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4" authorId="0" shapeId="0" xr:uid="{6ACB06B3-B943-405A-8F19-8F3DC35AAF5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
 на проверку до 04.09.2026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17" authorId="0" shapeId="0" xr:uid="{0A429FE3-9000-44EE-8EC3-222D14A66AC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Необходимо внесение изм в проект. Н5 и Н6, основание.</t>
        </r>
      </text>
    </comment>
    <comment ref="Q17" authorId="0" shapeId="0" xr:uid="{CFE56ADC-226F-4350-AEDF-968591C4EED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7" authorId="0" shapeId="0" xr:uid="{DFC23ED0-4919-4009-854A-DB999855DEB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>Передача ИД в РСК 14.08.2026</t>
        </r>
      </text>
    </comment>
    <comment ref="U17" authorId="0" shapeId="0" xr:uid="{A63F1A64-9058-4972-BB9A-1FC8458C8E3A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
на проверку до 01.09.2026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8" authorId="0" shapeId="0" xr:uid="{684050C9-4867-4926-9176-20D0555B408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N18" authorId="0" shapeId="0" xr:uid="{F63FD595-C5D6-4C4D-8620-71709E25A4C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O18" authorId="0" shapeId="0" xr:uid="{B0D2139C-1005-4BAC-ADEC-2FC5E9E5C83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18" authorId="0" shapeId="0" xr:uid="{C73E0611-88DF-4447-BC10-C8837C85E44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29.07.2026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18" authorId="0" shapeId="0" xr:uid="{EEC78777-8D7C-493D-B0D7-96410A5BD32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8" authorId="0" shapeId="0" xr:uid="{ED816ACA-FCBD-4044-BD79-39D8BF22C71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8" authorId="0" shapeId="0" xr:uid="{0F867005-1E57-4EE1-8FD4-4AA9BBA89F9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
на проверку до 01.09.2026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9" authorId="0" shapeId="0" xr:uid="{47225152-9CB8-4F16-A2DF-F461733BA4C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P19" authorId="0" shapeId="0" xr:uid="{BC34161B-8595-4953-B35C-56F5187BCB2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29.07.2026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20" authorId="0" shapeId="0" xr:uid="{98D26EA7-2501-4977-B357-18DBBB05B2B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Схемы исправлены, необходимо исправить АОСР и ВОР
</t>
        </r>
      </text>
    </comment>
    <comment ref="N20" authorId="0" shapeId="0" xr:uid="{AD05CED7-123F-469A-A909-EDBFCBDFAE3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O20" authorId="0" shapeId="0" xr:uid="{0B3F1A89-E025-480B-BAA3-C48DA4766A1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20" authorId="0" shapeId="0" xr:uid="{8B18246C-A097-4BF9-A938-4A2E68ACFCB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29.07.2026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20" authorId="0" shapeId="0" xr:uid="{9B41D6F9-896A-4D29-BCCD-BE773FD0E03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20" authorId="0" shapeId="0" xr:uid="{A947E2CA-B718-4AC0-A630-9D739B4A38E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20" authorId="0" shapeId="0" xr:uid="{0ED7DFA9-AF8D-4627-87C0-B6BC89F9816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
на проверку до 01.09.2026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21" authorId="0" shapeId="0" xr:uid="{57C8A099-81A5-4EE8-BF5F-8CDB96B0AD4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O21" authorId="0" shapeId="0" xr:uid="{3F78DB6D-9A57-4C59-B0F4-4B74119388C4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21" authorId="0" shapeId="0" xr:uid="{1A39A1CE-0C3D-4124-9EF3-267F9CBCBEA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29.07.2026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21" authorId="0" shapeId="0" xr:uid="{A155F63F-EBCA-41FD-A55C-E56ECAC87D2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21" authorId="0" shapeId="0" xr:uid="{C562F554-30EF-408D-97F2-5A4CBD36030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 на проверку 10.08.2026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21" authorId="0" shapeId="0" xr:uid="{9CB6B28E-396A-4134-A390-AF58DB3FB2E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
на проверку до 01.09.2026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22" authorId="0" shapeId="0" xr:uid="{04E6BEC9-BBA0-48BE-86FD-E862A02213C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O22" authorId="0" shapeId="0" xr:uid="{00679B38-046B-4864-BCE8-DA1F5824D47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Папки сформированы, срок передачи 27.07.2026
</t>
        </r>
      </text>
    </comment>
    <comment ref="P22" authorId="0" shapeId="0" xr:uid="{D23F4E64-B9FF-48DC-BEAE-93EA53894D0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29.07.2026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22" authorId="0" shapeId="0" xr:uid="{C070BF67-AB59-4BC9-AC41-86D98EB8E25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22" authorId="0" shapeId="0" xr:uid="{5FEE5159-8D68-4818-B1D4-2CDBAD01B1DA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>Передача ИД в РСК 14.08.2026</t>
        </r>
      </text>
    </comment>
    <comment ref="U22" authorId="0" shapeId="0" xr:uid="{593279A4-C589-4993-BCBA-0412868188EA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Передано
на проверку до 01.09.2026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29" authorId="0" shapeId="0" xr:uid="{17E9EE0B-908E-411D-A7ED-81EDCA69380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29" authorId="0" shapeId="0" xr:uid="{F4977DF3-5B5C-438A-ABE4-D290996525C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На устранения замечаний
</t>
        </r>
      </text>
    </comment>
    <comment ref="V29" authorId="0" shapeId="0" xr:uid="{9312A5CF-4E3B-40AC-9F2C-B0214FE45FD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
на проверку до 08.09.2026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30" authorId="0" shapeId="0" xr:uid="{51C21352-61FD-4E01-AEAD-8D35E9588BF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30" authorId="0" shapeId="0" xr:uid="{137CF880-09EE-42FE-A1DA-3D5310483E5F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На устранения замечаний
</t>
        </r>
      </text>
    </comment>
    <comment ref="V30" authorId="0" shapeId="0" xr:uid="{B7E4B2F5-7882-4572-AFCD-B46F45921CD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
на проверку до 08.09.2026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31" authorId="0" shapeId="0" xr:uid="{740E766E-BA51-4101-8232-5479E03D6C8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Q32" authorId="0" shapeId="0" xr:uid="{918513B1-DC7D-4CED-8B1D-1D72090165E1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 на проверку 06.08.2026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32" authorId="0" shapeId="0" xr:uid="{69CFCB74-70C0-491A-8408-0D3A52C7719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На устранения замечаний
</t>
        </r>
      </text>
    </comment>
    <comment ref="V32" authorId="0" shapeId="0" xr:uid="{63A3683D-AAAA-4B44-B50E-6B67FBAB555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6"/>
            <color indexed="81"/>
            <rFont val="Tahoma"/>
            <family val="2"/>
            <charset val="204"/>
          </rPr>
          <t xml:space="preserve">Передача
на проверку до 08.09.2026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34" authorId="0" shapeId="0" xr:uid="{072BD847-9C0C-4397-A962-E5CE9C4F547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K35" authorId="0" shapeId="0" xr:uid="{4B118077-D298-4DE9-91AE-3520A336F68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K36" authorId="0" shapeId="0" xr:uid="{CB0664B4-5D8E-4265-974A-8EA5D52018F0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K37" authorId="0" shapeId="0" xr:uid="{492B94ED-6FB6-4ADE-82FE-16B8B58D53E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K38" authorId="0" shapeId="0" xr:uid="{E28086F0-AFBB-4F0C-9379-7E5DA5F2D78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Подписано в карандаше, формируется реестр на передачу
</t>
        </r>
      </text>
    </comment>
    <comment ref="K108" authorId="1" shapeId="0" xr:uid="{97FB4DDE-165A-4916-9B39-64B24071F0F9}">
      <text>
        <r>
          <rPr>
            <b/>
            <sz val="9"/>
            <color indexed="81"/>
            <rFont val="Tahoma"/>
            <family val="2"/>
            <charset val="204"/>
          </rPr>
          <t>Ермилова Вера Николаевна:</t>
        </r>
        <r>
          <rPr>
            <sz val="9"/>
            <color indexed="81"/>
            <rFont val="Tahoma"/>
            <family val="2"/>
            <charset val="204"/>
          </rPr>
          <t xml:space="preserve">
подготовлен для сдачи
</t>
        </r>
      </text>
    </comment>
    <comment ref="N108" authorId="0" shapeId="0" xr:uid="{870943B2-7A3E-43B7-BD0D-DCA9D409157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Комплект ИД готов, прооверен, замечание устранены. Можно закрыть прокол ( при внесения в ПД и РД марку стали футляров), ну нельзя закрыть протаскивание трубы т.к. для протаскивания необходимо закрыть изоляцию а для этого нужно зарыть нижние лотки, не закрыты по причине предписаний. Предписание снято 
07.07.2026</t>
        </r>
      </text>
    </comment>
    <comment ref="M130" authorId="0" shapeId="0" xr:uid="{C32CFA23-0356-47B2-8DD2-1DF2D9D328C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0" authorId="0" shapeId="0" xr:uid="{50403C8A-C29B-49A0-9D8A-74F4ED03F3B9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0" authorId="0" shapeId="0" xr:uid="{8CEFBB73-6C2B-482C-ABFA-10E86091DDA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0" authorId="2" shapeId="0" xr:uid="{EF49CFDC-2BA8-410C-974D-09B8CBFA9A07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0" authorId="2" shapeId="0" xr:uid="{42F41BB2-97A1-46E0-953F-A79881832402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0" authorId="2" shapeId="0" xr:uid="{BF54F8B7-9761-4F82-9DF8-DD0F88BAA65A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1" authorId="0" shapeId="0" xr:uid="{8C0A8F3E-5CBA-4858-A3FA-A9665A317519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1" authorId="0" shapeId="0" xr:uid="{A3D611FD-96C3-4AA5-86B5-DD9DFF5E22D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1" authorId="0" shapeId="0" xr:uid="{83900CFC-BEFC-4DE3-B596-03E4A44B8C7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1" authorId="2" shapeId="0" xr:uid="{EDFA4623-7646-4A09-9AFC-484B6D9470C2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1" authorId="2" shapeId="0" xr:uid="{4C0D173B-1B18-4715-AC32-EFAADA1133DE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1" authorId="2" shapeId="0" xr:uid="{594A6743-85C9-4ECF-A0FF-AF61A2A57108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2" authorId="0" shapeId="0" xr:uid="{2558E055-AE2F-4BC3-B9AC-1DD76B8D02F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2" authorId="0" shapeId="0" xr:uid="{50F72980-7A36-4112-9633-772DD786CAE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2" authorId="0" shapeId="0" xr:uid="{FB9DB41E-2887-40DC-9456-4DB147A20B97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2" authorId="2" shapeId="0" xr:uid="{852CCF03-8970-463A-AA66-FC1638842A13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2" authorId="2" shapeId="0" xr:uid="{F1D50B96-5CA9-41FE-9FB7-2D222A5A4CAB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2" authorId="2" shapeId="0" xr:uid="{7711A851-C362-4602-87BC-A8507FBC99C0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3" authorId="0" shapeId="0" xr:uid="{AB82DB13-A4FB-498C-8E18-B7064B2E389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3" authorId="0" shapeId="0" xr:uid="{8979E86C-C198-4574-AED1-BE0F3E8BCB2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3" authorId="0" shapeId="0" xr:uid="{C1B28C2D-7D95-4C0E-811A-807120E2044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3" authorId="2" shapeId="0" xr:uid="{2970E4E8-3664-4318-830D-A752D1A45D95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3" authorId="2" shapeId="0" xr:uid="{78581B42-5962-4CD5-A037-0FA771B5C4F6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3" authorId="2" shapeId="0" xr:uid="{A58A708E-1B79-4E8F-80F1-BD11594E1923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4" authorId="0" shapeId="0" xr:uid="{940ACB06-356E-4A58-9B62-063849EE9184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4" authorId="0" shapeId="0" xr:uid="{D23A84FA-7539-4D06-A805-3EE9B047D24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4" authorId="0" shapeId="0" xr:uid="{3698FB1F-840B-4C6D-9998-467DE1B483B3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4" authorId="2" shapeId="0" xr:uid="{022BDBFE-8BA3-4DA7-A0FB-664D3C6BCD85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4" authorId="2" shapeId="0" xr:uid="{8E9EDAB1-5106-49FA-A8BC-58081A474C1E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4" authorId="2" shapeId="0" xr:uid="{AC06C3CD-389E-4A17-A045-7E76DF9F5DA0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5" authorId="0" shapeId="0" xr:uid="{AF2A32B8-BF17-4607-98A2-1F619605EF8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5" authorId="0" shapeId="0" xr:uid="{94C15B0A-D016-43F5-8001-257D36E3509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5" authorId="0" shapeId="0" xr:uid="{6A997DE0-40D1-4214-BB6A-2B6AF314216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5" authorId="2" shapeId="0" xr:uid="{2371BF4C-8A43-4C45-8F07-DD85BD8781FD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5" authorId="2" shapeId="0" xr:uid="{CFB7D165-7534-48AA-9BF7-1DD21FFB6B60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5" authorId="2" shapeId="0" xr:uid="{EFFAB6CC-91E4-43E6-86D2-C4179F93F736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6" authorId="0" shapeId="0" xr:uid="{B2C3CAB5-6C02-43CE-829E-DB946CE8D08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6" authorId="0" shapeId="0" xr:uid="{9F8B1BCF-9EFB-41D9-BC97-36A7CA587E18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6" authorId="0" shapeId="0" xr:uid="{975F8353-8C44-4C85-88DA-2321BE6F48C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6" authorId="2" shapeId="0" xr:uid="{C9BC59B2-6846-4416-B658-672C140B4EFD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6" authorId="2" shapeId="0" xr:uid="{809D48D8-B718-4563-87EB-A42A1A5767D8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6" authorId="2" shapeId="0" xr:uid="{3952678A-9865-4565-A315-8045E49B0BAA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7" authorId="0" shapeId="0" xr:uid="{52DBE6AB-8F54-4625-B82D-3AD5038D146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7" authorId="0" shapeId="0" xr:uid="{73336391-DDC7-4EF0-97E7-486F9D1BB83A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7" authorId="0" shapeId="0" xr:uid="{9B8A8238-CABE-4377-BBB8-FCB4F0ABF92D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7" authorId="2" shapeId="0" xr:uid="{652C611D-002D-4DE6-B075-318285BD121F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7" authorId="2" shapeId="0" xr:uid="{A367D3F9-950B-4B22-A9AB-BAC3DF2DBB30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7" authorId="2" shapeId="0" xr:uid="{3626F297-1F66-467E-9796-428A444A55A8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M138" authorId="0" shapeId="0" xr:uid="{F556A3DC-56F0-4F11-891B-7A4BF89251C6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N138" authorId="0" shapeId="0" xr:uid="{BDA45736-1EE2-4D48-9109-5221FC7CA10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 повторно не предъявлены, Показаны проколы входящий в даннный участок, устранены замечания.</t>
        </r>
      </text>
    </comment>
    <comment ref="O138" authorId="0" shapeId="0" xr:uid="{29DB7723-83B0-44CD-AF60-B5086E49A4F5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Замечание устранены, идет предъявление</t>
        </r>
      </text>
    </comment>
    <comment ref="R138" authorId="2" shapeId="0" xr:uid="{706E2252-B6AD-4B66-9791-697C856D504D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S138" authorId="2" shapeId="0" xr:uid="{7DB91796-68E6-4C3A-8D14-E441888D7F28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T138" authorId="2" shapeId="0" xr:uid="{A75A45E9-EEBF-4497-910D-0A89E97702AE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Осталось проверить журнал сварки и паспорта на резанные отводы, остальное готово и согласовано</t>
        </r>
      </text>
    </comment>
    <comment ref="R210" authorId="2" shapeId="0" xr:uid="{0DE7E1A1-9557-4997-9DB5-7099580C37A8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S210" authorId="2" shapeId="0" xr:uid="{1168A4EB-F143-40DD-8B37-82520667CD81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T210" authorId="2" shapeId="0" xr:uid="{B5908233-DC80-4A05-A39D-AF62FE0A2D5F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U210" authorId="2" shapeId="0" xr:uid="{83396C1A-AAB5-4719-9429-045C39064B6C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V210" authorId="2" shapeId="0" xr:uid="{7FD08F78-7099-4E6C-83D1-22282F309314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Необходима проверка показаний на соотвествие ИД факту измерений</t>
        </r>
      </text>
    </comment>
    <comment ref="R211" authorId="2" shapeId="0" xr:uid="{EE866DB9-13AA-40BB-8106-9BFFC19A72E2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S211" authorId="2" shapeId="0" xr:uid="{CB09498D-4B40-4499-AF39-B327EBF18255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T211" authorId="2" shapeId="0" xr:uid="{81159F3B-6A74-410D-86B0-91159FCF5C62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U211" authorId="2" shapeId="0" xr:uid="{38B22AD2-7FD3-4ED3-88B3-DD2BCEC3D76D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V211" authorId="2" shapeId="0" xr:uid="{0F2DFFEB-E05E-4931-B024-1CE543CF4241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Необходима проверка показаний на соотвествие ИД факту измерений</t>
        </r>
      </text>
    </comment>
    <comment ref="Q213" authorId="2" shapeId="0" xr:uid="{3A6A6009-308B-42CD-AB3D-2E7D3A553658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R213" authorId="2" shapeId="0" xr:uid="{1D321521-0479-4F50-A3E2-E1F7A7711E0F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S213" authorId="2" shapeId="0" xr:uid="{A5CBF08C-4B6C-4AD7-9278-D76C117DA55C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T213" authorId="2" shapeId="0" xr:uid="{4F093BC7-16D9-4855-9F8A-5C95B46BB6C5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V213" authorId="2" shapeId="0" xr:uid="{482E66D4-008B-479D-A5AE-B2E267DDC1D1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Необходима проверка показаний на соотвествие ИД факту измерений</t>
        </r>
      </text>
    </comment>
    <comment ref="M214" authorId="0" shapeId="0" xr:uid="{16E20CFA-2B22-4C56-ACD7-1BD3EE88062E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Сформировано, не предъявлено
</t>
        </r>
      </text>
    </comment>
    <comment ref="N214" authorId="0" shapeId="0" xr:uid="{B17BEC50-9BF2-42FC-ADD3-AFA5D1257FFC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Сформировано, не предъявлено
</t>
        </r>
      </text>
    </comment>
    <comment ref="R214" authorId="2" shapeId="0" xr:uid="{44D99965-43B0-4338-BC71-A126DB5637F9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S214" authorId="2" shapeId="0" xr:uid="{DEB617EF-D29C-45F5-A67B-3B91343375E3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T214" authorId="2" shapeId="0" xr:uid="{DBAE9EBB-6666-487C-8949-EE4A53289873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выданы незначительные замечания, устранены, готовы к повторной проверке</t>
        </r>
      </text>
    </comment>
    <comment ref="V214" authorId="2" shapeId="0" xr:uid="{C002FCC8-41DA-44A5-A36C-EC9A406DAEDB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Проверено, Необходима проверка показаний на соотвествие ИД факту измерений</t>
        </r>
      </text>
    </comment>
    <comment ref="M216" authorId="0" shapeId="0" xr:uid="{915160E0-9E65-453B-93C7-FEC8F0DB7439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Сформировано, не предъявлено
</t>
        </r>
      </text>
    </comment>
    <comment ref="N216" authorId="0" shapeId="0" xr:uid="{65310D2C-0440-45E2-9C12-163E9C9DC2F2}">
      <text>
        <r>
          <rPr>
            <b/>
            <sz val="9"/>
            <color indexed="81"/>
            <rFont val="Tahoma"/>
            <family val="2"/>
            <charset val="204"/>
          </rPr>
          <t>Денисов Максим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Сформировано, не предъявлено
</t>
        </r>
      </text>
    </comment>
    <comment ref="R224" authorId="2" shapeId="0" xr:uid="{A9D2BB43-3967-435E-89B7-C85E839B72CC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
К физике вопросов нет ,исполнительная проверена, выданы замечания, устранены</t>
        </r>
      </text>
    </comment>
    <comment ref="R225" authorId="2" shapeId="0" xr:uid="{FE4BCC40-3134-4F90-BF55-673CA536AC6D}">
      <text>
        <r>
          <rPr>
            <b/>
            <sz val="9"/>
            <color indexed="81"/>
            <rFont val="Tahoma"/>
            <family val="2"/>
            <charset val="204"/>
          </rPr>
          <t>Перфилов Александр Владимирович:
Решаются вопросы по физике, исполнительная готова</t>
        </r>
      </text>
    </comment>
  </commentList>
</comments>
</file>

<file path=xl/sharedStrings.xml><?xml version="1.0" encoding="utf-8"?>
<sst xmlns="http://schemas.openxmlformats.org/spreadsheetml/2006/main" count="4165" uniqueCount="1118">
  <si>
    <t>Наименование участка</t>
  </si>
  <si>
    <t>да</t>
  </si>
  <si>
    <t>нет</t>
  </si>
  <si>
    <t>в работе</t>
  </si>
  <si>
    <t>Поготовительный этап</t>
  </si>
  <si>
    <t xml:space="preserve">График сдачи ИД на участке №1 от границы проектирования до УТ2.2 </t>
  </si>
  <si>
    <t>График сдачи ИД на участке №2 от УТ2.2 до УТ4</t>
  </si>
  <si>
    <t>График сдачи ИД на участке №4 от УТ4 до УТ9</t>
  </si>
  <si>
    <t>График сдачи ИД на участке №3 от УТ4 до КМ5</t>
  </si>
  <si>
    <t>Опоры</t>
  </si>
  <si>
    <t>Камеры</t>
  </si>
  <si>
    <t>Трубопровод</t>
  </si>
  <si>
    <t>Статус</t>
  </si>
  <si>
    <t>Опв 1-6</t>
  </si>
  <si>
    <t>ОПн1-14.1</t>
  </si>
  <si>
    <t>Опв 7-9</t>
  </si>
  <si>
    <t>ОПн15-18</t>
  </si>
  <si>
    <t>ОПн19-47 +57</t>
  </si>
  <si>
    <t>ОПн24, 58, 111.1-114.1, 116</t>
  </si>
  <si>
    <t>Н5-18</t>
  </si>
  <si>
    <t>тип</t>
  </si>
  <si>
    <t>рсм</t>
  </si>
  <si>
    <t>фм</t>
  </si>
  <si>
    <t>ОПн59-65, 77, 102, 103</t>
  </si>
  <si>
    <t>ОПв10-12</t>
  </si>
  <si>
    <t>ОПн48-56, 115, 117</t>
  </si>
  <si>
    <t>ОПн118-120.1, 123, 124, 153</t>
  </si>
  <si>
    <t>ОПв13-15</t>
  </si>
  <si>
    <t>Н19-22</t>
  </si>
  <si>
    <t>ОПв19-24</t>
  </si>
  <si>
    <t>Н23-35</t>
  </si>
  <si>
    <t>ОПн167-186, 188-190, 197,198, 200-226</t>
  </si>
  <si>
    <t>КД-1</t>
  </si>
  <si>
    <t>КД-2</t>
  </si>
  <si>
    <t>КД-3</t>
  </si>
  <si>
    <t>УТ-1</t>
  </si>
  <si>
    <t>КД-4</t>
  </si>
  <si>
    <t>КД-5</t>
  </si>
  <si>
    <t>УТ-1.1</t>
  </si>
  <si>
    <t>КД-6.1</t>
  </si>
  <si>
    <t>КД-7</t>
  </si>
  <si>
    <t>КД-8</t>
  </si>
  <si>
    <t>КД-8.1</t>
  </si>
  <si>
    <t>КД-12</t>
  </si>
  <si>
    <t>УТ-2</t>
  </si>
  <si>
    <t>КД13</t>
  </si>
  <si>
    <t>УТ-2.1</t>
  </si>
  <si>
    <t>КД13.1</t>
  </si>
  <si>
    <t>УТ-2.2</t>
  </si>
  <si>
    <t>Камеры и колодцы</t>
  </si>
  <si>
    <t>Обвязка камер</t>
  </si>
  <si>
    <t>Н</t>
  </si>
  <si>
    <t>КР1</t>
  </si>
  <si>
    <t>УТ-3</t>
  </si>
  <si>
    <t>КД 14</t>
  </si>
  <si>
    <t>КМ3</t>
  </si>
  <si>
    <t>КР2</t>
  </si>
  <si>
    <t>КД15</t>
  </si>
  <si>
    <t>УТ4</t>
  </si>
  <si>
    <t>КР1-УТ3</t>
  </si>
  <si>
    <t>КМ3-КР2</t>
  </si>
  <si>
    <t>Н57</t>
  </si>
  <si>
    <t>ОПн254-273.1</t>
  </si>
  <si>
    <t>УТ10</t>
  </si>
  <si>
    <t>УТ11</t>
  </si>
  <si>
    <t>КД19</t>
  </si>
  <si>
    <t>УТ12</t>
  </si>
  <si>
    <t>УТ13</t>
  </si>
  <si>
    <t>КД20</t>
  </si>
  <si>
    <t>СК-1</t>
  </si>
  <si>
    <t>КР2.1</t>
  </si>
  <si>
    <t>КМ4</t>
  </si>
  <si>
    <t>УТ15</t>
  </si>
  <si>
    <t>КД22</t>
  </si>
  <si>
    <t>УТ15.1</t>
  </si>
  <si>
    <t>УТ15.2</t>
  </si>
  <si>
    <t>КДР12</t>
  </si>
  <si>
    <t>КР3</t>
  </si>
  <si>
    <t>УТ16</t>
  </si>
  <si>
    <t>КМ5</t>
  </si>
  <si>
    <t>Н70, 71, 76</t>
  </si>
  <si>
    <t>Н72, Н77</t>
  </si>
  <si>
    <t>ОПн274-299</t>
  </si>
  <si>
    <t>Н73-75</t>
  </si>
  <si>
    <t>ОПн300-304</t>
  </si>
  <si>
    <t>ОПв24.1, 25, 26</t>
  </si>
  <si>
    <t>УТ4-УТ7</t>
  </si>
  <si>
    <t>УТ7-УТ9</t>
  </si>
  <si>
    <t>УТ5</t>
  </si>
  <si>
    <t>УТ6</t>
  </si>
  <si>
    <t>КД16</t>
  </si>
  <si>
    <t>УТ7</t>
  </si>
  <si>
    <t>КД16.1</t>
  </si>
  <si>
    <t>УТ8</t>
  </si>
  <si>
    <t>КД18</t>
  </si>
  <si>
    <t>УТ9</t>
  </si>
  <si>
    <t>Опоры/лотки</t>
  </si>
  <si>
    <t>Обратная засыпка с планировкой территории</t>
  </si>
  <si>
    <t>Исполнитель</t>
  </si>
  <si>
    <t>Перфилов А.</t>
  </si>
  <si>
    <t>КМ4-УТ15</t>
  </si>
  <si>
    <t>УТ15.1-УТ15.2</t>
  </si>
  <si>
    <t>УТ15.2-КМ5</t>
  </si>
  <si>
    <t>УТ2.2-КР1, УТ3-КМ3, КР2-УТ4</t>
  </si>
  <si>
    <t>Денисов М.</t>
  </si>
  <si>
    <t>Болтик В.</t>
  </si>
  <si>
    <t>Дудник Д.</t>
  </si>
  <si>
    <t>Ефремов А.</t>
  </si>
  <si>
    <t>Мирошник Т.</t>
  </si>
  <si>
    <t>Черемных А.</t>
  </si>
  <si>
    <t>ОПв1-Н8</t>
  </si>
  <si>
    <t>Н8-Н19</t>
  </si>
  <si>
    <t>Н19-УТ2</t>
  </si>
  <si>
    <t>УТ2-УТ2.2</t>
  </si>
  <si>
    <t>УТ-1+полы</t>
  </si>
  <si>
    <t>УТ-1.1+полы</t>
  </si>
  <si>
    <t>УТ-2+полы</t>
  </si>
  <si>
    <t>УТ-2.1+полы</t>
  </si>
  <si>
    <t xml:space="preserve">Обвязка камер </t>
  </si>
  <si>
    <t>Обратная засыпка с планировкой территории (земляные работы)</t>
  </si>
  <si>
    <t>Ожидаемая стоимость по КС-2, млн.руб. с НДС</t>
  </si>
  <si>
    <t>Всего, млн.руб с НДС</t>
  </si>
  <si>
    <t>Прочие работы в рамках участка</t>
  </si>
  <si>
    <t>Денисов М./Перфилов А.</t>
  </si>
  <si>
    <t>физические</t>
  </si>
  <si>
    <t>предварительно показывали ИД</t>
  </si>
  <si>
    <t>проблемные вопросы</t>
  </si>
  <si>
    <t>Сформировано, готово к предъявлению после проверки от УТ4 до КР2.1 и от Н35 до УТ4</t>
  </si>
  <si>
    <t>Н1-4</t>
  </si>
  <si>
    <t>Докуменальные</t>
  </si>
  <si>
    <t>Не приступали, не подобраны заключения и схемы</t>
  </si>
  <si>
    <t>поверхности бетонных контрукций</t>
  </si>
  <si>
    <t>Сформировано, готово к предъявлению после УТ4-КР2.1</t>
  </si>
  <si>
    <t>обрамление приямков, планы на октябрь</t>
  </si>
  <si>
    <t>поверности бетонные, внутренние части стен</t>
  </si>
  <si>
    <t>труба собрана август 25  (не предъявили ЭВК)</t>
  </si>
  <si>
    <t>ДПР проработать вариант замены типового узла прохода в монолитные камеры до 19.09.2025! 24.09.2025
по всем КАМЕРАМ
направить Заказчику стоимость</t>
  </si>
  <si>
    <t>Балки перекрытия залиты с отклонением от проекта, нет решения
Внесено в проект</t>
  </si>
  <si>
    <t>ОБЩИЕ</t>
  </si>
  <si>
    <t>есть наработки, полного комплекта нет на 16.09.25, 23.09.2025, 30.09.2025</t>
  </si>
  <si>
    <t>комплект готов на 95%, не хватает лаборатории и ИЗМ</t>
  </si>
  <si>
    <t>Пока не завершены работы по физике, есть замечания</t>
  </si>
  <si>
    <t>Лаборатории бетон - 50%, земля 50%</t>
  </si>
  <si>
    <t>КРВ</t>
  </si>
  <si>
    <t>ОПв1-Н2.1</t>
  </si>
  <si>
    <t>КЭВ</t>
  </si>
  <si>
    <t>Н2.1-ОПв1.1</t>
  </si>
  <si>
    <t>ОПв1.1-Н8</t>
  </si>
  <si>
    <t>УТ2-Н34</t>
  </si>
  <si>
    <t>Н34-УТ2.2</t>
  </si>
  <si>
    <t>Байпасы КРВ</t>
  </si>
  <si>
    <t>Один комплект ИД, два АОСР (КРВ байпасы, магистраль КЭВ)</t>
  </si>
  <si>
    <t>УТ15.1-Н76</t>
  </si>
  <si>
    <t>Н76-УТ15.2</t>
  </si>
  <si>
    <t>КР2.1-КМ4</t>
  </si>
  <si>
    <t>УТ15.2-КР3</t>
  </si>
  <si>
    <t>КР3-УТ16</t>
  </si>
  <si>
    <t>УТ16-КМ5</t>
  </si>
  <si>
    <t xml:space="preserve">разрушена канава для отвода воды
необходимо восстановление  планировки территории
течь в камере через гильзы </t>
  </si>
  <si>
    <t>выровнить в ПД и РД габариты , передать исполнительные съемки в ДПР 25.09.2025 - передано</t>
  </si>
  <si>
    <r>
      <t xml:space="preserve">до 03.10.25. Остаток фасонные части и журналы сварки, и ОЖР, профиль
по обрезанным отводам, принятое решение п ИД:
К АОСР будет прикладываться паспорт на подрезанный отвод с датой подрезки и добавочным номером (/1), приложением к нему будет акт подрезки в свободной форме для фиксации даты подрезки и величины подрезки и первоначальный паспорт со своими приложениями. При этом первоначальный паспорт может содержать несколько изделий (труба, отвод, НО...), а измененный только одно, которое поменялось
</t>
    </r>
    <r>
      <rPr>
        <sz val="11"/>
        <color rgb="FFFF0000"/>
        <rFont val="Calibri"/>
        <family val="2"/>
        <charset val="204"/>
        <scheme val="minor"/>
      </rPr>
      <t>процедура согласована, на выявленные отводы получены исправленные документы</t>
    </r>
  </si>
  <si>
    <t>стыки просмотрены, пленки, труба (сертификаты паспорта), монтажная схема, будут изменения по итогам проверки монтажной схемы по фотографиям</t>
  </si>
  <si>
    <r>
      <t xml:space="preserve">На участке К23-24 была разработка грунта больше, чем в итоговой версии проекта, отсыпалось песком до нужной отметки, учтено ли это в смете? (песок с уплотнением около 2000 м3)
</t>
    </r>
    <r>
      <rPr>
        <sz val="11"/>
        <color theme="5" tint="-0.499984740745262"/>
        <rFont val="Calibri"/>
        <family val="2"/>
        <charset val="204"/>
        <scheme val="minor"/>
      </rPr>
      <t>Акт на доп работы с указанием причин выполнения работ</t>
    </r>
  </si>
  <si>
    <t>175-обр.засыпка</t>
  </si>
  <si>
    <t>1</t>
  </si>
  <si>
    <t>2</t>
  </si>
  <si>
    <t>198-замена грунта</t>
  </si>
  <si>
    <t>213-ж/б пов-ть</t>
  </si>
  <si>
    <t>67-замена грунта</t>
  </si>
  <si>
    <t>140-замена грунта</t>
  </si>
  <si>
    <t>127-досыпка грунта</t>
  </si>
  <si>
    <t>156-обр.засыпка</t>
  </si>
  <si>
    <t>60-ж/б пов-ть</t>
  </si>
  <si>
    <t>66-ж/б пов-ть</t>
  </si>
  <si>
    <t>210-откл.план-выс.отметок</t>
  </si>
  <si>
    <t>210-откл.пла-выс.отметок</t>
  </si>
  <si>
    <t>194-ж/б пов-ти</t>
  </si>
  <si>
    <t>213-ж/б пов-та</t>
  </si>
  <si>
    <t>228-обр.засыпка</t>
  </si>
  <si>
    <t>52+60+66-ж/б пов-ти</t>
  </si>
  <si>
    <t>129-неплотн.прилег.</t>
  </si>
  <si>
    <t>255-констр.подбетонки</t>
  </si>
  <si>
    <t>285-смещ.ФМ1, ФМ1.1, ФМ2</t>
  </si>
  <si>
    <t>268-отв.под болты</t>
  </si>
  <si>
    <t>186-полож.болтов</t>
  </si>
  <si>
    <t>282-трещ.в ФМ2</t>
  </si>
  <si>
    <t>283-размеры приямка</t>
  </si>
  <si>
    <t>74-сварочнвая докум.</t>
  </si>
  <si>
    <t>302-косые стыки</t>
  </si>
  <si>
    <t>300-косой стык</t>
  </si>
  <si>
    <t>120-сварочная докум.</t>
  </si>
  <si>
    <t>42-пробные сваи</t>
  </si>
  <si>
    <t>318-повр.защ.изол.</t>
  </si>
  <si>
    <t>262-соглас.ХабУпрАвтодор</t>
  </si>
  <si>
    <t>261-шаг армиров.</t>
  </si>
  <si>
    <t>314-недост.зазор при выходе т1, Т2</t>
  </si>
  <si>
    <t>210+316-откл.план-выс.отметок</t>
  </si>
  <si>
    <t>188-утв.ПМИ</t>
  </si>
  <si>
    <t>220-ЖСР</t>
  </si>
  <si>
    <t>225-расхожд.план-высот.отметок</t>
  </si>
  <si>
    <t>181-косые стыки</t>
  </si>
  <si>
    <t>182-косые стыки</t>
  </si>
  <si>
    <t>196-отклон.в армиров.</t>
  </si>
  <si>
    <t>184-крепл.откосов котлов.</t>
  </si>
  <si>
    <t>110-отклон.при армиров.</t>
  </si>
  <si>
    <t>153-косые стыки</t>
  </si>
  <si>
    <t>84-ЖСР</t>
  </si>
  <si>
    <t>183-нет прилег.к ОПн288</t>
  </si>
  <si>
    <t>227-обр.засыпка</t>
  </si>
  <si>
    <t>316-откл.план-выс.отметок</t>
  </si>
  <si>
    <t>299-гермет.узла прохода</t>
  </si>
  <si>
    <t>304-стыки байпасов</t>
  </si>
  <si>
    <t>306-заглушки</t>
  </si>
  <si>
    <t>210-расхожд.план-выс.отметок</t>
  </si>
  <si>
    <t>225-расхожд.план-выс.отметок</t>
  </si>
  <si>
    <t>316-расхожд.план-выс.отметок</t>
  </si>
  <si>
    <t>335-затопление</t>
  </si>
  <si>
    <t>151-отклон. В констр.армиров.</t>
  </si>
  <si>
    <t>214-отклон. В полож.свай</t>
  </si>
  <si>
    <t>164-отклон. В шаге армир.</t>
  </si>
  <si>
    <t>262- нет соглас.ХабУпрАвтодора</t>
  </si>
  <si>
    <t>141-оклон. В шаге армиров.</t>
  </si>
  <si>
    <t>280-предост. Утв.ПМИ</t>
  </si>
  <si>
    <t>347-отклон.план-выс.отметок</t>
  </si>
  <si>
    <t>Добавить данные по пробным сваям в ПОС, ПЗ, ТКР, РД общие данные.
В ИЗМ15 добавлено (в экспертизе). ГИП подтверждает</t>
  </si>
  <si>
    <t>КМ5 работы будут завершены 30.11.25</t>
  </si>
  <si>
    <t>УТ4-УТ12</t>
  </si>
  <si>
    <t>УТ12-КМ4, УТ15-УТ15.1</t>
  </si>
  <si>
    <r>
      <t xml:space="preserve">не по проекту выполнено изначально
исправлять один вариант!
Уваров 24.09.25 показать СК, принять решение -показали, необходима планировка с устройсвом отвода воды.
</t>
    </r>
    <r>
      <rPr>
        <b/>
        <sz val="11"/>
        <color rgb="FFFF0000"/>
        <rFont val="Calibri"/>
        <family val="2"/>
        <charset val="204"/>
        <scheme val="minor"/>
      </rPr>
      <t xml:space="preserve">"убрать 20 см от уровня земли до ростверка с устройством отвода воды"  Согласовано СК! 
</t>
    </r>
    <r>
      <rPr>
        <b/>
        <sz val="11"/>
        <color theme="5" tint="-0.499984740745262"/>
        <rFont val="Calibri"/>
        <family val="2"/>
        <charset val="204"/>
        <scheme val="minor"/>
      </rPr>
      <t>план выполнения работ до 15.11.2025. до 30.11.25. - выполнено!</t>
    </r>
    <r>
      <rPr>
        <sz val="11"/>
        <color rgb="FFFF0000"/>
        <rFont val="Calibri"/>
        <family val="2"/>
        <charset val="204"/>
        <scheme val="minor"/>
      </rPr>
      <t xml:space="preserve">
данные по предваритеьному согласованию с Дор.инспекцией направлены в ДПР. ДПР проанализировать данные. Указать сроки Предоставить данные
Д</t>
    </r>
    <r>
      <rPr>
        <sz val="11"/>
        <color theme="5" tint="-0.499984740745262"/>
        <rFont val="Calibri"/>
        <family val="2"/>
        <charset val="204"/>
        <scheme val="minor"/>
      </rPr>
      <t>ПР по факту предоставления съемки, формируют решение</t>
    </r>
  </si>
  <si>
    <t>камера УТ11(болотистая местность), 10
заделка с наружи гидрозамок до 15.11.25 наблюдают.
Если не течет, решение передают в ДПР</t>
  </si>
  <si>
    <t>протоколы лаборатории бетон 60% земля 30%</t>
  </si>
  <si>
    <t>бетонные поверхности. Не приступали к работе</t>
  </si>
  <si>
    <t>Не выполнена окантовка приямка, не решен вопрос с заделкой проходок - не принято РСК</t>
  </si>
  <si>
    <r>
      <rPr>
        <sz val="11"/>
        <color rgb="FFFF0000"/>
        <rFont val="Calibri"/>
        <family val="2"/>
        <charset val="204"/>
        <scheme val="minor"/>
      </rPr>
      <t>опора трубопровода не соприкасается с опорной поверхностью (висит на трубе)</t>
    </r>
    <r>
      <rPr>
        <sz val="11"/>
        <color theme="1"/>
        <rFont val="Calibri"/>
        <family val="2"/>
        <scheme val="minor"/>
      </rPr>
      <t xml:space="preserve">
30мм пластины, 100мм квадратая труба</t>
    </r>
  </si>
  <si>
    <t>Схемы сформированы - выданы замечания (на исправлении по аналогии с участком от ТЭЦ)</t>
  </si>
  <si>
    <t xml:space="preserve">17 камер, (16 переданы, геодезистом подтверждены отметки)
</t>
  </si>
  <si>
    <t xml:space="preserve">ИД согласована
</t>
  </si>
  <si>
    <t>Протоколы лаб. земля 50%. Не хватает паспортов на жб.</t>
  </si>
  <si>
    <t>Протоколы лаб. бетон 0%, земля 0%. Не хватает паспортов на жб.</t>
  </si>
  <si>
    <t>Проверка данных из монтажных схем, подбор пленок</t>
  </si>
  <si>
    <t>Просмотр фотографий с ЭВ для выяснения длин отводов, номеров труб и стыков</t>
  </si>
  <si>
    <t>протоколы лаборатории бетон 0% земля 50%
Не хватает паспортов на жб.</t>
  </si>
  <si>
    <t>Лаборатории бетон - 90%, земля 50%. Не хватает паспортов на жб.</t>
  </si>
  <si>
    <t>Не хватает паспортов на жб.</t>
  </si>
  <si>
    <t>Лаборатории бетон - 0%, земля 50%. Не хватает паспортов на жб.</t>
  </si>
  <si>
    <t>275-откл.в армиров.</t>
  </si>
  <si>
    <t>328-поврежд.внутр.изол.</t>
  </si>
  <si>
    <t>48-врем. Здан. и сооруж</t>
  </si>
  <si>
    <t>Лаборатории бетон - 100%, земля 50%
Необходимо изменить вес арматуры Ф6 мм в стеновых панелях СТМ-1-1,СТМ2-1-  на 27.01.26 выполнено</t>
  </si>
  <si>
    <t>низкие опоры, где заполнен трубопровод.
Появилось много сколов на фундаментах, сколы до арматуры</t>
  </si>
  <si>
    <t>375-ж/б пов-ть</t>
  </si>
  <si>
    <t>116-неплотн.прилег.</t>
  </si>
  <si>
    <t>161-неплотн.прилег.</t>
  </si>
  <si>
    <t>373-наруш.заземл.</t>
  </si>
  <si>
    <t>374-наруш . При нанес. Огнезащиты</t>
  </si>
  <si>
    <t>338-косые стыки</t>
  </si>
  <si>
    <t>348-измен.плиты покрытия</t>
  </si>
  <si>
    <t>353-наруш.входа футляра в лоток</t>
  </si>
  <si>
    <t>362-армир.плиты покрытия</t>
  </si>
  <si>
    <t>361-армир.плиты покрытия</t>
  </si>
  <si>
    <t>325-оклеечн.изоляция</t>
  </si>
  <si>
    <t>365-обр. засыпка</t>
  </si>
  <si>
    <t>259-оклон.в шаге армир.УМ2-1</t>
  </si>
  <si>
    <t>336-косые стыки</t>
  </si>
  <si>
    <t>ОПн54-166, 253.3</t>
  </si>
  <si>
    <r>
      <t xml:space="preserve">предоставить исполнительные съекмки камер геодезисту РСК, направлено РСК 07.10.2025. Согласованы на 14.10.25.
ждем внесение данных в РД </t>
    </r>
    <r>
      <rPr>
        <sz val="11"/>
        <color rgb="FFFF0000"/>
        <rFont val="Calibri"/>
        <family val="2"/>
        <charset val="204"/>
        <scheme val="minor"/>
      </rPr>
      <t xml:space="preserve">до 29.10.25 предоставить решение по внесению изменений.
Будет в ИЗМе подготовленном  до 6.02.26 (ТКР, ТС, КЖ1, КЖ2.
Разобраться с ПОС (загруженным в ЦУС) уточнить номер ИЗМа,
ПОС ИЗМ8 - экспертиза, ИЗМ9 следующий </t>
    </r>
  </si>
  <si>
    <t>Подписано до до бетона</t>
  </si>
  <si>
    <t>согласовано к подписанию</t>
  </si>
  <si>
    <t>ОПв15.1, 15.2, 16-18</t>
  </si>
  <si>
    <t>ОПн125 - ОПН143</t>
  </si>
  <si>
    <t>ОПн67-76, 78-94, 95-101, 
104-111,187, 191-196,199
227-241, 243-253.2</t>
  </si>
  <si>
    <r>
      <t xml:space="preserve">
внесение фактических отметок в ПД</t>
    </r>
    <r>
      <rPr>
        <sz val="11"/>
        <color theme="1"/>
        <rFont val="Calibri"/>
        <family val="2"/>
        <charset val="204"/>
        <scheme val="minor"/>
      </rPr>
      <t xml:space="preserve">, дополнительно сняты натурные отметки, </t>
    </r>
    <r>
      <rPr>
        <sz val="11"/>
        <color rgb="FFFF0000"/>
        <rFont val="Calibri"/>
        <family val="2"/>
        <charset val="204"/>
        <scheme val="minor"/>
      </rPr>
      <t>передано в ДПР, внесено в очередной Изм</t>
    </r>
  </si>
  <si>
    <t xml:space="preserve">Комплект подготовлены, готовятся фотографии к просмотру, будет рассмотрено после УТ4-КР2.1
</t>
  </si>
  <si>
    <r>
      <rPr>
        <sz val="11"/>
        <color theme="5" tint="-0.499984740745262"/>
        <rFont val="Calibri"/>
        <family val="2"/>
        <charset val="204"/>
        <scheme val="minor"/>
      </rPr>
      <t>Пленки просмотрены, Просмотр фотографий с ЭВ для выяснения длин отводов, номеров труб и стыков, выявлены расхождения с фото.
Фото просмотрены, пленки подобраны, предъявление</t>
    </r>
    <r>
      <rPr>
        <sz val="11"/>
        <color theme="1"/>
        <rFont val="Calibri"/>
        <family val="2"/>
        <scheme val="minor"/>
      </rPr>
      <t xml:space="preserve">
 </t>
    </r>
  </si>
  <si>
    <t>Подписано</t>
  </si>
  <si>
    <t xml:space="preserve">
</t>
  </si>
  <si>
    <t>Подписаны сваи</t>
  </si>
  <si>
    <r>
      <rPr>
        <b/>
        <sz val="11"/>
        <rFont val="Calibri"/>
        <family val="2"/>
        <charset val="204"/>
        <scheme val="minor"/>
      </rPr>
      <t>Сформировано до обратной засыпки фундаментов</t>
    </r>
    <r>
      <rPr>
        <sz val="11"/>
        <color rgb="FFFF0000"/>
        <rFont val="Calibri"/>
        <family val="2"/>
        <scheme val="minor"/>
      </rPr>
      <t xml:space="preserve">
протоколы лаборатории бетон 60% земля 30%</t>
    </r>
  </si>
  <si>
    <r>
      <t xml:space="preserve">ИД подписана (700 метров трассы)
</t>
    </r>
    <r>
      <rPr>
        <b/>
        <sz val="11"/>
        <color theme="5" tint="-0.499984740745262"/>
        <rFont val="Calibri"/>
        <family val="2"/>
        <charset val="204"/>
        <scheme val="minor"/>
      </rPr>
      <t>СОДК+Изоляция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charset val="204"/>
        <scheme val="minor"/>
      </rPr>
      <t xml:space="preserve">Изоляцию просмотрели. </t>
    </r>
    <r>
      <rPr>
        <sz val="11"/>
        <color theme="1"/>
        <rFont val="Calibri"/>
        <family val="2"/>
        <scheme val="minor"/>
      </rPr>
      <t xml:space="preserve">
Будет подписана после выхода раздела СОДК (РД)
Раздел будет передан в ПТО 3.02.26, согласование РСК
подтверждение и в приказ заказчика.
</t>
    </r>
    <r>
      <rPr>
        <b/>
        <sz val="11"/>
        <color rgb="FFFF0000"/>
        <rFont val="Calibri"/>
        <family val="2"/>
        <charset val="204"/>
        <scheme val="minor"/>
      </rPr>
      <t>РД СОДК согласован и подгружен в ЦУС.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charset val="204"/>
        <scheme val="minor"/>
      </rPr>
      <t xml:space="preserve">Ждем приказа и штамп </t>
    </r>
  </si>
  <si>
    <t xml:space="preserve">подготовлено </t>
  </si>
  <si>
    <t>всего</t>
  </si>
  <si>
    <t xml:space="preserve">опора расположена "под углом" на 820мм и 1000мм
ПТО по мере сдачи ИД
под каждую неунифицированную опору передает отдельно в ДПР
ДПР выдает отдельное решение
Строители выполняют работы
ПТО сдает ИД СК
</t>
  </si>
  <si>
    <t>протоколы лаборатории бетон 100% земля 90%</t>
  </si>
  <si>
    <t>Участок</t>
  </si>
  <si>
    <t>Акт</t>
  </si>
  <si>
    <t>Все</t>
  </si>
  <si>
    <t>Разбивка осей объекта</t>
  </si>
  <si>
    <t>Вырубка деревьев/кустарников с корчевкой</t>
  </si>
  <si>
    <t>Срезка верхнего слоя земли 200 мм</t>
  </si>
  <si>
    <t>Вывоз грунта на временную площадку</t>
  </si>
  <si>
    <t>планировка территории</t>
  </si>
  <si>
    <t>Всего элементов учета:</t>
  </si>
  <si>
    <t>Выполнено:</t>
  </si>
  <si>
    <t>Остаток:</t>
  </si>
  <si>
    <t>Статус на</t>
  </si>
  <si>
    <t>Участок 1</t>
  </si>
  <si>
    <t>Всего</t>
  </si>
  <si>
    <t>Нет ИД</t>
  </si>
  <si>
    <t>Полуфабрикат (с пояснениями проблем)</t>
  </si>
  <si>
    <t>ИД не требуется</t>
  </si>
  <si>
    <t>Участок 2</t>
  </si>
  <si>
    <t>Участок 3</t>
  </si>
  <si>
    <t>Участок 4</t>
  </si>
  <si>
    <r>
      <t>Протоколы лаборатории бетон 80% земля 50% Не хватает паспортов на жб.
Нет изменений в проекте на армирование плиты покрытия, отправлено в ДПР 19.02.2026.</t>
    </r>
    <r>
      <rPr>
        <sz val="11"/>
        <rFont val="Calibri"/>
        <family val="2"/>
        <charset val="204"/>
        <scheme val="minor"/>
      </rPr>
      <t xml:space="preserve"> Проверено РСК до монтажа плит.</t>
    </r>
  </si>
  <si>
    <r>
      <t xml:space="preserve">Протоколы лаборатории бетон 80% земля 50% Не хватает паспортов на жб.
Нет изменений в проекте на армирование плиты покрытия, отправлено в ДПР 19.02.2026. </t>
    </r>
    <r>
      <rPr>
        <sz val="11"/>
        <rFont val="Calibri"/>
        <family val="2"/>
        <charset val="204"/>
        <scheme val="minor"/>
      </rPr>
      <t>Проверено РСК до монтажа плит.</t>
    </r>
  </si>
  <si>
    <r>
      <t xml:space="preserve">Протоколы лаборатории бетон 100% земля 50% Не убран шпунт из ПОС. </t>
    </r>
    <r>
      <rPr>
        <sz val="11"/>
        <rFont val="Calibri"/>
        <family val="2"/>
        <charset val="204"/>
        <scheme val="minor"/>
      </rPr>
      <t>Проверено РСК до монтажа плит.</t>
    </r>
  </si>
  <si>
    <t xml:space="preserve">Протоколы земля 50%. Не хватает паспортов на жб. </t>
  </si>
  <si>
    <t>Протоколы лаборатории бетон 20% земля 50%</t>
  </si>
  <si>
    <t xml:space="preserve">Протоколы лаборатории бетон 20% земля 50%. Не хватает паспортов на жб. </t>
  </si>
  <si>
    <r>
      <t xml:space="preserve">протоколы лаборатории бетон 100% земля 50%
Не исключён шпунт из ПОС. </t>
    </r>
    <r>
      <rPr>
        <sz val="11"/>
        <rFont val="Calibri"/>
        <family val="2"/>
        <charset val="204"/>
        <scheme val="minor"/>
      </rPr>
      <t>Проверено РСК до монтажа плит.</t>
    </r>
  </si>
  <si>
    <r>
      <t xml:space="preserve">протоколы лаборатории бетон 80% земля 50%
</t>
    </r>
    <r>
      <rPr>
        <sz val="11"/>
        <rFont val="Calibri"/>
        <family val="2"/>
        <charset val="204"/>
        <scheme val="minor"/>
      </rPr>
      <t xml:space="preserve">Проверено РСК до монтажа плит. </t>
    </r>
    <r>
      <rPr>
        <sz val="11"/>
        <color rgb="FFFF0000"/>
        <rFont val="Calibri"/>
        <family val="2"/>
        <charset val="204"/>
        <scheme val="minor"/>
      </rPr>
      <t>Необходимо изм. по монтажу плит покрытия, отправлено в ДПР 19.02.2026.</t>
    </r>
  </si>
  <si>
    <r>
      <t xml:space="preserve">Протоколы лаб. земля 50%, бетон 80%. </t>
    </r>
    <r>
      <rPr>
        <sz val="11"/>
        <rFont val="Calibri"/>
        <family val="2"/>
        <charset val="204"/>
        <scheme val="minor"/>
      </rPr>
      <t>Проверено РСК до монтажа плит.</t>
    </r>
  </si>
  <si>
    <t>377-кирп.кладка вент.шахт</t>
  </si>
  <si>
    <t>378-приварка и неполн.прилег. скольз.опор к эстакаде</t>
  </si>
  <si>
    <t>379-поврежд.грунтов. ОПв, скольз.опор, эстакад</t>
  </si>
  <si>
    <t>Подписано 85%</t>
  </si>
  <si>
    <t>Подписано до плит пекрытия</t>
  </si>
  <si>
    <r>
      <t xml:space="preserve">Протоколы лаб. бетон 80%, земля 50%.  Не исключён шпунт из ПОС. 
Проверено РСК до монтажа плит.
убрать шпунт из ПОС - не решено! 
</t>
    </r>
    <r>
      <rPr>
        <b/>
        <sz val="11"/>
        <color rgb="FFFF0000"/>
        <rFont val="Calibri"/>
        <family val="2"/>
        <charset val="204"/>
        <scheme val="minor"/>
      </rPr>
      <t>нет решения по заделке проходок на 30.09.2025. до 28.10.25</t>
    </r>
    <r>
      <rPr>
        <sz val="11"/>
        <rFont val="Calibri"/>
        <family val="2"/>
        <charset val="204"/>
        <scheme val="minor"/>
      </rPr>
      <t xml:space="preserve">
3 варианта, принять решение, согласовать с СК 24.09.205
РЕШЕНИЕ - В ПД учесть везде зеделка (каболка+скрепа), в местах течи использовать гидропломба (перетрон) (за счет доп работ в акте)
</t>
    </r>
    <r>
      <rPr>
        <b/>
        <sz val="11"/>
        <color theme="5" tint="-0.499984740745262"/>
        <rFont val="Calibri"/>
        <family val="2"/>
        <charset val="204"/>
        <scheme val="minor"/>
      </rPr>
      <t xml:space="preserve">Работающий гидроузел передать в ДПР, повторно отправить с доп информацией по заделке внутри 26.11.2025
</t>
    </r>
    <r>
      <rPr>
        <b/>
        <sz val="11"/>
        <color rgb="FFFF0000"/>
        <rFont val="Calibri"/>
        <family val="2"/>
        <charset val="204"/>
        <scheme val="minor"/>
      </rPr>
      <t>на остальных камерах по проекту</t>
    </r>
    <r>
      <rPr>
        <b/>
        <sz val="11"/>
        <color theme="5" tint="-0.499984740745262"/>
        <rFont val="Calibri"/>
        <family val="2"/>
        <charset val="204"/>
        <scheme val="minor"/>
      </rPr>
      <t xml:space="preserve">
</t>
    </r>
    <r>
      <rPr>
        <sz val="11"/>
        <rFont val="Calibri"/>
        <family val="2"/>
        <charset val="204"/>
        <scheme val="minor"/>
      </rPr>
      <t xml:space="preserve">
</t>
    </r>
    <r>
      <rPr>
        <sz val="11"/>
        <color rgb="FFFF0000"/>
        <rFont val="Calibri"/>
        <family val="2"/>
        <charset val="204"/>
        <scheme val="minor"/>
      </rPr>
      <t>заделка стыков колец дренажных колодцев (колодцы все с водой)</t>
    </r>
  </si>
  <si>
    <r>
      <t>с</t>
    </r>
    <r>
      <rPr>
        <sz val="11"/>
        <rFont val="Calibri"/>
        <family val="2"/>
        <charset val="204"/>
        <scheme val="minor"/>
      </rPr>
      <t>формирована, протоколы лаборатории бетон 100% земля 50%</t>
    </r>
    <r>
      <rPr>
        <sz val="11"/>
        <color theme="1"/>
        <rFont val="Calibri"/>
        <family val="2"/>
        <scheme val="minor"/>
      </rPr>
      <t xml:space="preserve">
 решения в проекте по холодным швам под бетонирование опор 26.09.25 - </t>
    </r>
    <r>
      <rPr>
        <sz val="11"/>
        <color rgb="FFFF0000"/>
        <rFont val="Calibri"/>
        <family val="2"/>
        <charset val="204"/>
        <scheme val="minor"/>
      </rPr>
      <t>выполнено. Проверено РСК до монтажа плит.</t>
    </r>
    <r>
      <rPr>
        <sz val="11"/>
        <color theme="1"/>
        <rFont val="Calibri"/>
        <family val="2"/>
        <scheme val="minor"/>
      </rPr>
      <t xml:space="preserve">
армирование плиты. СК еще не принята - замечания по армированию
Учтено в ПД и в ИЗМ 17 (Комар И.В.).
Не внесены изм. в ПД Изм.17 по выс.-план. положению и армир-ию плиты. Проверено РСК до монтажа плит.
в сл ИЗМ внесут планово-высотные отметки 06.02.26. В изм.18 внесено. </t>
    </r>
    <r>
      <rPr>
        <sz val="11"/>
        <color rgb="FFFF0000"/>
        <rFont val="Calibri"/>
        <family val="2"/>
        <charset val="204"/>
        <scheme val="minor"/>
      </rPr>
      <t>Необходима корр. РД по привязкам осей гильз.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charset val="204"/>
        <scheme val="minor"/>
      </rPr>
      <t>Отправлено в ДПР 19.02.2026</t>
    </r>
  </si>
  <si>
    <r>
      <t xml:space="preserve">Протоколы лаб. земля 50%. 
</t>
    </r>
    <r>
      <rPr>
        <b/>
        <sz val="11"/>
        <color theme="5" tint="-0.499984740745262"/>
        <rFont val="Calibri"/>
        <family val="2"/>
        <charset val="204"/>
        <scheme val="minor"/>
      </rPr>
      <t>оплубка соответствует факту, армирование приямка исправить
УТ3, 11, 12,13,15.1, 15.2</t>
    </r>
    <r>
      <rPr>
        <sz val="11"/>
        <rFont val="Calibri"/>
        <family val="2"/>
        <charset val="204"/>
        <scheme val="minor"/>
      </rPr>
      <t xml:space="preserve">. Повторно направить на ДПР 25.11.25
в ИЗМ 17 исправлено. Проверено РСК до монтажа плит. </t>
    </r>
    <r>
      <rPr>
        <sz val="11"/>
        <color rgb="FFFF0000"/>
        <rFont val="Calibri"/>
        <family val="2"/>
        <charset val="204"/>
        <scheme val="minor"/>
      </rPr>
      <t>Необходима корр. РД по привязкам осей гильз. Отправлено в ДПР 19.02.2026</t>
    </r>
  </si>
  <si>
    <r>
      <rPr>
        <sz val="11"/>
        <color rgb="FFFF0000"/>
        <rFont val="Calibri"/>
        <family val="2"/>
        <charset val="204"/>
        <scheme val="minor"/>
      </rPr>
      <t>Протоколы лаб. земля 50%. Не снято предписание.</t>
    </r>
    <r>
      <rPr>
        <sz val="11"/>
        <color theme="1"/>
        <rFont val="Calibri"/>
        <family val="2"/>
        <scheme val="minor"/>
      </rPr>
      <t xml:space="preserve"> Проверено РСК до монтажа плит.
Нет решения по заделке проходок и холодным швам, 26.09.2025 - выполнено.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</si>
  <si>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rPr>
        <sz val="11"/>
        <color rgb="FFFF0000"/>
        <rFont val="Calibri"/>
        <family val="2"/>
        <charset val="204"/>
        <scheme val="minor"/>
      </rPr>
      <t>Протоколы лаб. земля 50%.</t>
    </r>
    <r>
      <rPr>
        <sz val="11"/>
        <color theme="1"/>
        <rFont val="Calibri"/>
        <family val="2"/>
        <scheme val="minor"/>
      </rPr>
      <t xml:space="preserve"> Проверено РСК до гидроизоляции плит.</t>
    </r>
  </si>
  <si>
    <r>
      <t xml:space="preserve">Протоколы лаб. бетон 80%, земля 50%.  Не исключён шпунт из ПОС. </t>
    </r>
    <r>
      <rPr>
        <sz val="11"/>
        <rFont val="Calibri"/>
        <family val="2"/>
        <charset val="204"/>
        <scheme val="minor"/>
      </rPr>
      <t>Проверено РСК до монтажа плит.</t>
    </r>
  </si>
  <si>
    <r>
      <t xml:space="preserve">Протоколы лаб. земля 50%. </t>
    </r>
    <r>
      <rPr>
        <sz val="11"/>
        <rFont val="Calibri"/>
        <family val="2"/>
        <charset val="204"/>
        <scheme val="minor"/>
      </rPr>
      <t>Проверено РСК до устройства вентшахт.</t>
    </r>
  </si>
  <si>
    <r>
      <t xml:space="preserve">Протоколы лаборатории бетон 100% земля 50%, Не исключен шпунт из ПОС. </t>
    </r>
    <r>
      <rPr>
        <sz val="11"/>
        <color theme="1"/>
        <rFont val="Calibri"/>
        <family val="2"/>
        <charset val="204"/>
        <scheme val="minor"/>
      </rPr>
      <t>Проверено РСК до устройства разуклонки.</t>
    </r>
  </si>
  <si>
    <r>
      <t xml:space="preserve">Протоколы лаб. бетон 80%, земля 50%. Не исключен шпунт из ПОС. Необходимо внесение изм. в ведомость объемов земляных работ (несоотв. отм. и объёма) - отпр. в ДПК 04.02.2026. </t>
    </r>
    <r>
      <rPr>
        <sz val="11"/>
        <color theme="1"/>
        <rFont val="Calibri"/>
        <family val="2"/>
        <charset val="204"/>
        <scheme val="minor"/>
      </rPr>
      <t xml:space="preserve">Передано на проверку в РСК 07.04.2026. </t>
    </r>
  </si>
  <si>
    <r>
      <t>Протоколы лаб. бетон 100%, земля 50 %.</t>
    </r>
    <r>
      <rPr>
        <sz val="11"/>
        <color theme="1"/>
        <rFont val="Calibri"/>
        <family val="2"/>
        <charset val="204"/>
        <scheme val="minor"/>
      </rPr>
      <t xml:space="preserve"> Передано на проверку до армирования стен.</t>
    </r>
    <r>
      <rPr>
        <sz val="11"/>
        <color rgb="FFFF0000"/>
        <rFont val="Calibri"/>
        <family val="2"/>
        <charset val="204"/>
        <scheme val="minor"/>
      </rPr>
      <t xml:space="preserve"> Необходима корр. в РД осей трубопровода. Отправлено в ДПР  20.03.2026</t>
    </r>
  </si>
  <si>
    <r>
      <t>Протоколы лаб. земля 50%.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Проверено РСК до монтажа плит.
На проверке плиты покрытия и гидроизоляция.</t>
    </r>
  </si>
  <si>
    <r>
      <rPr>
        <sz val="11"/>
        <color theme="1"/>
        <rFont val="Calibri"/>
        <family val="2"/>
        <scheme val="minor"/>
      </rPr>
      <t xml:space="preserve"> Проверено РСК до монтажа плит.
</t>
    </r>
    <r>
      <rPr>
        <sz val="11"/>
        <color rgb="FFFF0000"/>
        <rFont val="Calibri"/>
        <family val="2"/>
        <charset val="204"/>
        <scheme val="minor"/>
      </rPr>
      <t xml:space="preserve">Лаборатории бетон -100%, земля 50% </t>
    </r>
    <r>
      <rPr>
        <sz val="11"/>
        <color theme="1"/>
        <rFont val="Calibri"/>
        <family val="2"/>
        <charset val="204"/>
        <scheme val="minor"/>
      </rPr>
      <t>На проверке плиты покрытия и гидроизоляция.</t>
    </r>
    <r>
      <rPr>
        <sz val="11"/>
        <color rgb="FFFF0000"/>
        <rFont val="Calibri"/>
        <family val="2"/>
        <charset val="204"/>
        <scheme val="minor"/>
      </rPr>
      <t xml:space="preserve">
</t>
    </r>
  </si>
  <si>
    <r>
      <t xml:space="preserve">сформирована (подписана в карандаше до плит перекрытия), нет решения в проекте по холодным швам под бетонирование опор - решено, </t>
    </r>
    <r>
      <rPr>
        <sz val="11"/>
        <color rgb="FFFF0000"/>
        <rFont val="Calibri"/>
        <family val="2"/>
        <charset val="204"/>
        <scheme val="minor"/>
      </rPr>
      <t xml:space="preserve">Лаборатории бетон - 100%, земля 50%. 
Не снято предписание. </t>
    </r>
    <r>
      <rPr>
        <sz val="11"/>
        <rFont val="Calibri"/>
        <family val="2"/>
        <charset val="204"/>
        <scheme val="minor"/>
      </rPr>
      <t>Проверено РСК до монтажа плит. На проверке плиты покрытия и гидроизоляция.</t>
    </r>
  </si>
  <si>
    <r>
      <t xml:space="preserve">сформировано до плиты, Лаборатории бетон - 100%, земля 50%
 </t>
    </r>
    <r>
      <rPr>
        <sz val="11"/>
        <rFont val="Calibri"/>
        <family val="2"/>
        <charset val="204"/>
        <scheme val="minor"/>
      </rPr>
      <t>Проверено РСК до монтажа плит. На проверке плиты покрытия и гидроизоляция.</t>
    </r>
  </si>
  <si>
    <r>
      <t xml:space="preserve">Проверено РСК до монтажа плит.
</t>
    </r>
    <r>
      <rPr>
        <sz val="11"/>
        <color rgb="FFFF0000"/>
        <rFont val="Calibri"/>
        <family val="2"/>
        <charset val="204"/>
        <scheme val="minor"/>
      </rPr>
      <t>Лаборатория бетон - 100%, земля 50%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</t>
    </r>
    <r>
      <rPr>
        <sz val="11"/>
        <color rgb="FFFF0000"/>
        <rFont val="Calibri"/>
        <family val="2"/>
        <charset val="204"/>
        <scheme val="minor"/>
      </rPr>
      <t>Необходима корр. РД по привязкам осей гильз. Отправлено в ДПР 19.02.2026</t>
    </r>
  </si>
  <si>
    <r>
      <t xml:space="preserve">Подписана "в карандаше"  </t>
    </r>
    <r>
      <rPr>
        <sz val="11"/>
        <rFont val="Calibri"/>
        <family val="2"/>
        <charset val="204"/>
        <scheme val="minor"/>
      </rPr>
      <t>Проверено РСК до монтажа плит.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charset val="204"/>
        <scheme val="minor"/>
      </rPr>
      <t>Необходимо изм. в РД по монтажу плит, отправлено в ДПР 03.04.2026. Необходима корр. РД по привязкам осей гильз. Отправлено в ДПР 19.02.2026</t>
    </r>
  </si>
  <si>
    <t>буронабивные СВАИ - подписаны</t>
  </si>
  <si>
    <t>сочится вода в камеры
не работают принятые проектные решения
в 10.04.2026 обсуждение и принятие решений</t>
  </si>
  <si>
    <t>№ п/п</t>
  </si>
  <si>
    <t>Раздел
№ папки</t>
  </si>
  <si>
    <t>Наименование конструкции</t>
  </si>
  <si>
    <t>Передано на проверку в РСК</t>
  </si>
  <si>
    <t>Реестр к папке</t>
  </si>
  <si>
    <t>1. Монтаж трубопровода</t>
  </si>
  <si>
    <t>2. Фотофиксация</t>
  </si>
  <si>
    <t>3. Замеры</t>
  </si>
  <si>
    <t>Опорный участок</t>
  </si>
  <si>
    <t>АОСР
(подписант)
Карпенко Р.В.</t>
  </si>
  <si>
    <t>АОСР
(подписант)
Карась Э.В.</t>
  </si>
  <si>
    <t>Монтажная схема</t>
  </si>
  <si>
    <t>ИС труба</t>
  </si>
  <si>
    <t>ИС общая</t>
  </si>
  <si>
    <t>Профиль</t>
  </si>
  <si>
    <t>Разрез</t>
  </si>
  <si>
    <t>Геодезическая съемка</t>
  </si>
  <si>
    <t>Пленки</t>
  </si>
  <si>
    <t>Заключения</t>
  </si>
  <si>
    <t>Паспорта на трубы</t>
  </si>
  <si>
    <t>Паспорта на фасонку</t>
  </si>
  <si>
    <t>Сварочные материалы</t>
  </si>
  <si>
    <t>Допуски на сварщиков</t>
  </si>
  <si>
    <t>ЖСР электронный</t>
  </si>
  <si>
    <t>ЖСР от руки</t>
  </si>
  <si>
    <t>ОЖР</t>
  </si>
  <si>
    <t>ЖВК</t>
  </si>
  <si>
    <t>Акт несоотвествия сварных стыков</t>
  </si>
  <si>
    <t>Акт несоотвествия труб</t>
  </si>
  <si>
    <t>ВОР</t>
  </si>
  <si>
    <t>Фото №</t>
  </si>
  <si>
    <t>Замерный лист №</t>
  </si>
  <si>
    <t>УТ2-Н35</t>
  </si>
  <si>
    <t>УТ2-Н25</t>
  </si>
  <si>
    <t>Внести дату</t>
  </si>
  <si>
    <t>Н28-Н29</t>
  </si>
  <si>
    <t>Н29-Н30</t>
  </si>
  <si>
    <t>Н30-Н31</t>
  </si>
  <si>
    <t>Н31-Н32</t>
  </si>
  <si>
    <t>Н32-Н33</t>
  </si>
  <si>
    <t>Н33-Н34</t>
  </si>
  <si>
    <t>Н34-2.1</t>
  </si>
  <si>
    <t>Ут2.1-Н35</t>
  </si>
  <si>
    <t>Н35-УТ4</t>
  </si>
  <si>
    <t>Н35-КР1</t>
  </si>
  <si>
    <t>УТ3-К14</t>
  </si>
  <si>
    <t>К14-К14.1</t>
  </si>
  <si>
    <t>К14.1-УП61</t>
  </si>
  <si>
    <t>УП61-УП62</t>
  </si>
  <si>
    <t>УП62-КМ3</t>
  </si>
  <si>
    <t>КР2-УТ4</t>
  </si>
  <si>
    <t>УТ12-КМ4</t>
  </si>
  <si>
    <t>УТ12-К25</t>
  </si>
  <si>
    <t>К25-УП94</t>
  </si>
  <si>
    <t>Уп94-УП95</t>
  </si>
  <si>
    <t>УП95-К26</t>
  </si>
  <si>
    <t>К26-УП97</t>
  </si>
  <si>
    <t>УП97-УП99</t>
  </si>
  <si>
    <t>УП99-УП105</t>
  </si>
  <si>
    <t>УП105-КР2.1</t>
  </si>
  <si>
    <t>Кр2.1-КМ4</t>
  </si>
  <si>
    <t>УТ15-УТ15.1</t>
  </si>
  <si>
    <t>Сформировано в эл.версии</t>
  </si>
  <si>
    <t>Передано на проверку</t>
  </si>
  <si>
    <t>Нет проектного решения</t>
  </si>
  <si>
    <t>Есть замечания</t>
  </si>
  <si>
    <t>Май</t>
  </si>
  <si>
    <t>Июнь</t>
  </si>
  <si>
    <t>Июль</t>
  </si>
  <si>
    <t>Август</t>
  </si>
  <si>
    <t>Сентябрь</t>
  </si>
  <si>
    <t>Денисов</t>
  </si>
  <si>
    <t>Подписано 80%</t>
  </si>
  <si>
    <t>Подписано 90%</t>
  </si>
  <si>
    <t>Подписано 70%</t>
  </si>
  <si>
    <t>Подписано 10%</t>
  </si>
  <si>
    <r>
      <t xml:space="preserve">Изоляция 20.04.2026 будет подписана со стороны ССР
</t>
    </r>
    <r>
      <rPr>
        <b/>
        <sz val="11"/>
        <color rgb="FFFF0000"/>
        <rFont val="Calibri"/>
        <family val="2"/>
        <charset val="204"/>
        <scheme val="minor"/>
      </rPr>
      <t>на 12.05.2026 изоляция не подписана</t>
    </r>
  </si>
  <si>
    <t>Решение по ИЗОЛЯЦИИ камер, возможно затронет конструкцию лотков при входе в камеру
13.05.26 обсуждение проектного решения, правильно подбирать материалы (шнуры)
мероприятия по водоотведению с участка (лотки)
обсуждение с марта 2025 года</t>
  </si>
  <si>
    <t>154-обр.засыпка</t>
  </si>
  <si>
    <t>Опв1- УТ1</t>
  </si>
  <si>
    <t>Опв1-УУТЭ</t>
  </si>
  <si>
    <t>Х</t>
  </si>
  <si>
    <t>УУТЭ-Н2</t>
  </si>
  <si>
    <t>Н2-УП7</t>
  </si>
  <si>
    <t>УП7</t>
  </si>
  <si>
    <t>УП7-УП10</t>
  </si>
  <si>
    <t>УП10-УП11</t>
  </si>
  <si>
    <t>УП11-Н4</t>
  </si>
  <si>
    <t>Н4-Н5</t>
  </si>
  <si>
    <t>Н5-Н6</t>
  </si>
  <si>
    <t>Н6-Н7</t>
  </si>
  <si>
    <t>Н7-УТ1</t>
  </si>
  <si>
    <t>УТ1-УТ1.1</t>
  </si>
  <si>
    <t>УТ1-Н9</t>
  </si>
  <si>
    <t>Н9-Н10</t>
  </si>
  <si>
    <t>Н10-Н11</t>
  </si>
  <si>
    <t>Н11-Н13</t>
  </si>
  <si>
    <t>Н13-Н14</t>
  </si>
  <si>
    <t>Н14-Н16</t>
  </si>
  <si>
    <t>Н16-УТ1.1</t>
  </si>
  <si>
    <t>УТ1.1-УТ2</t>
  </si>
  <si>
    <t>УТ1.1-Н18</t>
  </si>
  <si>
    <t>Н18-Н19</t>
  </si>
  <si>
    <t>Н19-Н20.1</t>
  </si>
  <si>
    <t>Н20.1-Н21</t>
  </si>
  <si>
    <t>Н21-Н22</t>
  </si>
  <si>
    <t>Н22-Н23</t>
  </si>
  <si>
    <t>Н23-УТ2</t>
  </si>
  <si>
    <t>КМ4-К27</t>
  </si>
  <si>
    <t>К27-УТ15</t>
  </si>
  <si>
    <t>Ут15.1-Н74</t>
  </si>
  <si>
    <t>Н74-Н75</t>
  </si>
  <si>
    <t>Н75-Н76</t>
  </si>
  <si>
    <t>Н76-КМ5</t>
  </si>
  <si>
    <t>Н76-Н77</t>
  </si>
  <si>
    <t>Н77-Ут15.2</t>
  </si>
  <si>
    <t>Ут15.2-КР3</t>
  </si>
  <si>
    <t>Готово к подписанию</t>
  </si>
  <si>
    <r>
      <t xml:space="preserve">Замеч. РСК, препятствующие принятию ИД
рассмотрение после </t>
    </r>
    <r>
      <rPr>
        <b/>
        <sz val="16"/>
        <color theme="1"/>
        <rFont val="Calibri"/>
        <family val="2"/>
        <charset val="204"/>
        <scheme val="minor"/>
      </rPr>
      <t>РД ИЗМ 20</t>
    </r>
  </si>
  <si>
    <t>Подготовить таблицу предьяление камер РСК по устранению замечаний. Отв. Стройплощадка. 02.06.2026 г</t>
  </si>
  <si>
    <t>Не завершена планировка, есть замечания к бетонным работам (в предписаниях) 
Опоры приняты Карпенко.</t>
  </si>
  <si>
    <t>Недостающие паспорта получены отв. Перфилов 
фасонные элементы по сдаче ИД.
формируются монтажные схемы, подбираются пленки и заключения</t>
  </si>
  <si>
    <t>Комплекты сформированы, предварительно согласованы с Карпенко  Р.В. Требуется дополнительная проверка по месту</t>
  </si>
  <si>
    <t xml:space="preserve">осуществляли замер длины трубопровода до 33 опоры. </t>
  </si>
  <si>
    <r>
      <t xml:space="preserve">Решение по камерам №7,8,9
наличие грунтовых вод.
Места соединений с камерой не гермитичны, проходы через гильзы
решение ПД и Строителями внутри ССР
</t>
    </r>
    <r>
      <rPr>
        <b/>
        <sz val="11"/>
        <color theme="1"/>
        <rFont val="Calibri"/>
        <family val="2"/>
        <charset val="204"/>
        <scheme val="minor"/>
      </rPr>
      <t>на 12.05.26 нет решений!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charset val="204"/>
        <scheme val="minor"/>
      </rPr>
      <t>Пробный комплект изголовлен для камеры УТ7 и будет доставлен до 15.06.2026 смонтирован в течении 7 дней.</t>
    </r>
  </si>
  <si>
    <t>Лаборатория на уплотнение - 30% (после сдачи трубы)</t>
  </si>
  <si>
    <t>Необходимо внести изм по грунту (комплект готов)</t>
  </si>
  <si>
    <t>Сформированы комплекты, лаборатории получены 100%</t>
  </si>
  <si>
    <r>
      <t>сформирован комплект,</t>
    </r>
    <r>
      <rPr>
        <b/>
        <sz val="11"/>
        <color theme="1"/>
        <rFont val="Calibri"/>
        <family val="2"/>
        <charset val="204"/>
        <scheme val="minor"/>
      </rPr>
      <t>верхние лотки - предварительно показаны (комплект готов)
Внести изменеия В лотковой части Необходимо изменить вес арматуры Ф6 мм в стеновых панелях СТМ-1-1,СТМ2-1- на 27.01.26 выполнено
Необходимо внести в проект утвержденные схемы деф. швов- отправлено 13.03.2025</t>
    </r>
    <r>
      <rPr>
        <sz val="11"/>
        <color theme="1"/>
        <rFont val="Calibri"/>
        <family val="2"/>
        <scheme val="minor"/>
      </rPr>
      <t xml:space="preserve">
Предьявить комплект по верхним лоткам до 09.06.2026 г</t>
    </r>
  </si>
  <si>
    <t>385-материал изол.цоколя</t>
  </si>
  <si>
    <t>380-материал изол.цоколя</t>
  </si>
  <si>
    <t>381-протечка воды</t>
  </si>
  <si>
    <t>383-деформ. Основания и подбетонки</t>
  </si>
  <si>
    <t>57.1</t>
  </si>
  <si>
    <t>УТ13.1</t>
  </si>
  <si>
    <t>Следующий участок для передачи в ДПР для внесения изменений
ОПН254 до ОПН 304 (до 23.01.26) - выполнено
труба УТ12-КР2.1 (03.02.26) - передано (возможно будет скорректировано по итогам проверки РСК)- сдан</t>
  </si>
  <si>
    <r>
      <rPr>
        <strike/>
        <sz val="11"/>
        <color theme="1"/>
        <rFont val="Calibri"/>
        <family val="2"/>
        <charset val="204"/>
        <scheme val="minor"/>
      </rPr>
      <t xml:space="preserve">1. Участок ТЭЦ 3-до УТ2.2. - переданы в ДПР 11.11.25
исполнительная съемка и таблица с высотными отметками фактическими (всех отметок по профилю). </t>
    </r>
    <r>
      <rPr>
        <strike/>
        <sz val="11"/>
        <color rgb="FFC00000"/>
        <rFont val="Calibri"/>
        <family val="2"/>
        <charset val="204"/>
        <scheme val="minor"/>
      </rPr>
      <t xml:space="preserve">координаты 18.11.2025 (таблица и файл геодезистов) дополнительно переданы съемки воздушников и дренажей
</t>
    </r>
    <r>
      <rPr>
        <strike/>
        <sz val="11"/>
        <rFont val="Calibri"/>
        <family val="2"/>
        <charset val="204"/>
        <scheme val="minor"/>
      </rPr>
      <t xml:space="preserve">2. участок  (координаты, отметки) - </t>
    </r>
    <r>
      <rPr>
        <strike/>
        <sz val="11"/>
        <color rgb="FFFF0000"/>
        <rFont val="Calibri"/>
        <family val="2"/>
        <charset val="204"/>
        <scheme val="minor"/>
      </rPr>
      <t>02.02.26 принят в работу геодезистами - проверено, замечаний нет. Предъявление РСК</t>
    </r>
    <r>
      <rPr>
        <strike/>
        <sz val="11"/>
        <rFont val="Calibri"/>
        <family val="2"/>
        <charset val="204"/>
        <scheme val="minor"/>
      </rPr>
      <t xml:space="preserve">
3. участок  </t>
    </r>
    <r>
      <rPr>
        <strike/>
        <sz val="11"/>
        <color rgb="FFFF0000"/>
        <rFont val="Calibri"/>
        <family val="2"/>
        <charset val="204"/>
        <scheme val="minor"/>
      </rPr>
      <t>в работе (подземная часть до КР2.1, воздушная часть готова 23.01.26, проверено ДПР, исправлены замечания)</t>
    </r>
    <r>
      <rPr>
        <strike/>
        <sz val="11"/>
        <rFont val="Calibri"/>
        <family val="2"/>
        <charset val="204"/>
        <scheme val="minor"/>
      </rPr>
      <t xml:space="preserve">
4. участок 20.11.2025 - предано 20.11.2025 (выполнено) </t>
    </r>
    <r>
      <rPr>
        <strike/>
        <sz val="11"/>
        <color rgb="FFFF0000"/>
        <rFont val="Calibri"/>
        <family val="2"/>
        <charset val="204"/>
        <scheme val="minor"/>
      </rPr>
      <t xml:space="preserve">Отметки внесены в РД
</t>
    </r>
    <r>
      <rPr>
        <strike/>
        <sz val="11"/>
        <color theme="1"/>
        <rFont val="Calibri"/>
        <family val="2"/>
        <charset val="204"/>
        <scheme val="minor"/>
      </rPr>
      <t xml:space="preserve">внесение изменений в РД отметки (ТС, КЖ (РД)), после подписания ИД, будет скорректирован ГП(РД) (земля, координаты)
</t>
    </r>
    <r>
      <rPr>
        <b/>
        <strike/>
        <sz val="11"/>
        <color theme="1"/>
        <rFont val="Calibri"/>
        <family val="2"/>
        <charset val="204"/>
        <scheme val="minor"/>
      </rPr>
      <t>ДПР подтверждает внесение изменений в ИЗМе17.</t>
    </r>
    <r>
      <rPr>
        <strike/>
        <sz val="11"/>
        <color theme="1"/>
        <rFont val="Calibri"/>
        <family val="2"/>
        <charset val="204"/>
        <scheme val="minor"/>
      </rPr>
      <t xml:space="preserve">
</t>
    </r>
    <r>
      <rPr>
        <strike/>
        <sz val="11"/>
        <color rgb="FFFF0000"/>
        <rFont val="Calibri"/>
        <family val="2"/>
        <charset val="204"/>
        <scheme val="minor"/>
      </rPr>
      <t>5. Выполнено</t>
    </r>
  </si>
  <si>
    <r>
      <rPr>
        <strike/>
        <sz val="11"/>
        <color theme="1"/>
        <rFont val="Calibri"/>
        <family val="2"/>
        <charset val="204"/>
        <scheme val="minor"/>
      </rPr>
      <t xml:space="preserve">планировка земли после завершения смр, по отметкам в ПД.
Производится планировка, по графику до конца ноября 25, по погодным условиям.
</t>
    </r>
    <r>
      <rPr>
        <strike/>
        <sz val="11"/>
        <color rgb="FFFF0000"/>
        <rFont val="Calibri"/>
        <family val="2"/>
        <charset val="204"/>
        <scheme val="minor"/>
      </rPr>
      <t xml:space="preserve">камера 9, 6,7,4,10,11,13,км5 засыпают сухим грунтом, вывозят разработанный грунт - закончат </t>
    </r>
    <r>
      <rPr>
        <b/>
        <strike/>
        <sz val="11"/>
        <color rgb="FFFF0000"/>
        <rFont val="Calibri"/>
        <family val="2"/>
        <charset val="204"/>
        <scheme val="minor"/>
      </rPr>
      <t>март 26
в районе 6,7,4,5 зашел подрядчик и прокладывал ливневку</t>
    </r>
    <r>
      <rPr>
        <strike/>
        <sz val="11"/>
        <color rgb="FFFF0000"/>
        <rFont val="Calibri"/>
        <family val="2"/>
        <charset val="204"/>
        <scheme val="minor"/>
      </rPr>
      <t xml:space="preserve">
планировка участков</t>
    </r>
    <r>
      <rPr>
        <strike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>ВЫПОЛНЕНО</t>
    </r>
  </si>
  <si>
    <t>Коментарии:
1. Необходимо разработать и согласовать подъезные пути к камерам - Вопрос к ДПР
2. Водоотлив по павильонам - Данные переданы в ДПР и Заказчику.</t>
  </si>
  <si>
    <r>
      <t xml:space="preserve">по опорам ошибки подсчета </t>
    </r>
    <r>
      <rPr>
        <b/>
        <strike/>
        <sz val="11"/>
        <rFont val="Calibri"/>
        <family val="2"/>
        <scheme val="minor"/>
      </rPr>
      <t>армирования</t>
    </r>
    <r>
      <rPr>
        <strike/>
        <sz val="11"/>
        <rFont val="Calibri"/>
        <family val="2"/>
        <scheme val="minor"/>
      </rPr>
      <t xml:space="preserve"> исправить 03.10.25, предоставили 14.10.25 Проверить расчеты! - проверка параллельно с приемкой ИД
внести изменения в сметы по фактической массе арматуры по маркам
ИСПРАВЛЕНО. На 10</t>
    </r>
    <r>
      <rPr>
        <b/>
        <strike/>
        <sz val="11"/>
        <rFont val="Calibri"/>
        <family val="2"/>
        <scheme val="minor"/>
      </rPr>
      <t>.02.26</t>
    </r>
    <r>
      <rPr>
        <strike/>
        <sz val="11"/>
        <rFont val="Calibri"/>
        <family val="2"/>
        <scheme val="minor"/>
      </rPr>
      <t xml:space="preserve"> вносят изменнеия, до 12.02.26
Внесено в изм 18.</t>
    </r>
  </si>
  <si>
    <r>
      <t xml:space="preserve">габариты, бетонные поверхности проверка. Отдельная таблица.
Предоставлять еженедельно информацию в ПТО о исправлении нарушений (Захаров Д., Денисов М.)
Работа ведется, 
всего 315 фундаментов
на </t>
    </r>
    <r>
      <rPr>
        <b/>
        <strike/>
        <sz val="11"/>
        <rFont val="Calibri"/>
        <family val="2"/>
        <scheme val="minor"/>
      </rPr>
      <t>16.01.26</t>
    </r>
    <r>
      <rPr>
        <strike/>
        <sz val="11"/>
        <rFont val="Calibri"/>
        <family val="2"/>
        <scheme val="minor"/>
      </rPr>
      <t xml:space="preserve">: предъявили 0. Всего опор 315, Зотов принимает 117, Карпенко 160, остаток не смотрели 38
</t>
    </r>
    <r>
      <rPr>
        <b/>
        <strike/>
        <sz val="11"/>
        <rFont val="Calibri"/>
        <family val="2"/>
        <scheme val="minor"/>
      </rPr>
      <t>ПОВТОРНО по фундаментам (сколы), после пуска ТМ</t>
    </r>
    <r>
      <rPr>
        <strike/>
        <sz val="11"/>
        <rFont val="Calibri"/>
        <family val="2"/>
        <scheme val="minor"/>
      </rPr>
      <t xml:space="preserve">
со сколами - </t>
    </r>
    <r>
      <rPr>
        <b/>
        <strike/>
        <sz val="11"/>
        <rFont val="Calibri"/>
        <family val="2"/>
        <scheme val="minor"/>
      </rPr>
      <t>163 шт</t>
    </r>
    <r>
      <rPr>
        <strike/>
        <sz val="11"/>
        <rFont val="Calibri"/>
        <family val="2"/>
        <scheme val="minor"/>
      </rPr>
      <t xml:space="preserve">. (итог проверки МН Зотов)
тех карта по ремнту бетонных поверхностей в зимний период - согласована СК.
</t>
    </r>
    <r>
      <rPr>
        <b/>
        <strike/>
        <sz val="11"/>
        <rFont val="Calibri"/>
        <family val="2"/>
        <scheme val="minor"/>
      </rPr>
      <t>Зимняя ремонтная смесь поставлена
План до 30.03.2026- 03.03. подтверждает ССР. СК не подтверждает.
ИД не будет подписана до 30.03.2026</t>
    </r>
    <r>
      <rPr>
        <strike/>
        <sz val="11"/>
        <rFont val="Calibri"/>
        <family val="2"/>
        <scheme val="minor"/>
      </rPr>
      <t xml:space="preserve">
смесь поставлена на весь объем 02.03.2026
о</t>
    </r>
    <r>
      <rPr>
        <b/>
        <strike/>
        <sz val="11"/>
        <rFont val="Calibri"/>
        <family val="2"/>
        <scheme val="minor"/>
      </rPr>
      <t xml:space="preserve">пределить темп работ, предоставить график
факт сделано опор 51 шт+22 шт+27шт+29 шт=129шт+5=134шт
из 134 принято 0
осталовь сделать 29 шт до 25.03.26
</t>
    </r>
    <r>
      <rPr>
        <b/>
        <strike/>
        <sz val="11"/>
        <color rgb="FFFF0000"/>
        <rFont val="Calibri"/>
        <family val="2"/>
        <scheme val="minor"/>
      </rPr>
      <t>предоставлена новая таблица по опорам
375, выполнено 336, остаток 39! данные на 24.03.26
остаток к выполнению 13шт (трасса заполнена)? на 31.03.26.</t>
    </r>
    <r>
      <rPr>
        <b/>
        <strike/>
        <sz val="11"/>
        <rFont val="Calibri"/>
        <family val="2"/>
        <scheme val="minor"/>
      </rPr>
      <t xml:space="preserve">
предоставить таблицу с обхода с СК, итоги предлоставить</t>
    </r>
    <r>
      <rPr>
        <strike/>
        <sz val="11"/>
        <rFont val="Calibri"/>
        <family val="2"/>
        <scheme val="minor"/>
      </rPr>
      <t xml:space="preserve">
Всего камер 
разуклонка сделана в камерах, павильонах 13 шт (5-6 приняли)
осталось сделать 16 камер/павильонов
сделано на 31.03.26 20 шт (5-6 принято)
остаток 9 шт</t>
    </r>
  </si>
  <si>
    <r>
      <rPr>
        <strike/>
        <sz val="11"/>
        <rFont val="Calibri"/>
        <family val="2"/>
        <charset val="204"/>
        <scheme val="minor"/>
      </rPr>
      <t xml:space="preserve">Решение вопроса по шпунтовому ограждению УТ16, УТ4, БНС.
Проанализировать работы по фактически выполненному шпунтовому ограждению.
Передать данные в ДПР - фото - предоставлено УТ16. УТ4, БНС 12.11.25 будут предосталены.
Что можно принять с СК с проектировщиками до 31.10.25. 18.11.25 27.11.2025
ДПР что невозможно удалить из ПД. 
совместно с геодезисмати расчет что можно принять.
до 20.11.2025-
Комар 2.12.25 направит в ПТО что нужно оформлять
</t>
    </r>
    <r>
      <rPr>
        <b/>
        <strike/>
        <sz val="11"/>
        <rFont val="Calibri"/>
        <family val="2"/>
        <charset val="204"/>
        <scheme val="minor"/>
      </rPr>
      <t>Собрать отдельное ВКС, решить вопрос по креплению шпунтом</t>
    </r>
    <r>
      <rPr>
        <strike/>
        <sz val="11"/>
        <rFont val="Calibri"/>
        <family val="2"/>
        <charset val="204"/>
        <scheme val="minor"/>
      </rPr>
      <t xml:space="preserve">- выполнено. 
Фотографии собраны скомплектованы-ждем решения от РСК по поводу приемки работ.
</t>
    </r>
    <r>
      <rPr>
        <b/>
        <strike/>
        <sz val="11"/>
        <color rgb="FFFF0000"/>
        <rFont val="Calibri"/>
        <family val="2"/>
        <charset val="204"/>
        <scheme val="minor"/>
      </rPr>
      <t>СК не готов принимать Шпунтовое ограждение, не вызывали на приемку, не фиксировали объемы.</t>
    </r>
    <r>
      <rPr>
        <strike/>
        <sz val="11"/>
        <rFont val="Calibri"/>
        <family val="2"/>
        <charset val="204"/>
        <scheme val="minor"/>
      </rPr>
      <t xml:space="preserve">
</t>
    </r>
    <r>
      <rPr>
        <b/>
        <strike/>
        <sz val="11"/>
        <color rgb="FFFF0000"/>
        <rFont val="Calibri"/>
        <family val="2"/>
        <charset val="204"/>
        <scheme val="minor"/>
      </rPr>
      <t xml:space="preserve">Фактические работы выполнены с отклонениями от проектной документации.
</t>
    </r>
    <r>
      <rPr>
        <b/>
        <sz val="11"/>
        <color rgb="FFFF0000"/>
        <rFont val="Calibri"/>
        <family val="2"/>
        <charset val="204"/>
        <scheme val="minor"/>
      </rPr>
      <t>Шпунт исключен</t>
    </r>
  </si>
  <si>
    <r>
      <rPr>
        <strike/>
        <sz val="11"/>
        <color theme="1"/>
        <rFont val="Calibri"/>
        <family val="2"/>
        <charset val="204"/>
        <scheme val="minor"/>
      </rPr>
      <t xml:space="preserve">часть опор подтоплено водой, есть замечания к бетонным работам: составили перечень замечаний и опор для проверки
Не завершена планировка, есть замечания к бетонным работам (в предписаниях)
</t>
    </r>
    <r>
      <rPr>
        <sz val="11"/>
        <color theme="1"/>
        <rFont val="Calibri"/>
        <family val="2"/>
        <scheme val="minor"/>
      </rPr>
      <t xml:space="preserve">
Внесены в проект
</t>
    </r>
  </si>
  <si>
    <r>
      <rPr>
        <strike/>
        <sz val="11"/>
        <color theme="1"/>
        <rFont val="Calibri"/>
        <family val="2"/>
        <charset val="204"/>
        <scheme val="minor"/>
      </rPr>
      <t xml:space="preserve">Папки сформированы, идет предъявление РСК в соответствии с РД Изм 17.
</t>
    </r>
    <r>
      <rPr>
        <b/>
        <strike/>
        <sz val="11"/>
        <color theme="1"/>
        <rFont val="Calibri"/>
        <family val="2"/>
        <charset val="204"/>
        <scheme val="minor"/>
      </rPr>
      <t>до 22.01.2026 направить в РСК</t>
    </r>
    <r>
      <rPr>
        <strike/>
        <sz val="11"/>
        <color theme="1"/>
        <rFont val="Calibri"/>
        <family val="2"/>
        <charset val="204"/>
        <scheme val="minor"/>
      </rPr>
      <t xml:space="preserve">.
</t>
    </r>
    <r>
      <rPr>
        <b/>
        <strike/>
        <sz val="11"/>
        <color rgb="FFFF0000"/>
        <rFont val="Calibri"/>
        <family val="2"/>
        <charset val="204"/>
        <scheme val="minor"/>
      </rPr>
      <t>Разобраться по основаниями по предписаниям 198. Денисов М.</t>
    </r>
    <r>
      <rPr>
        <strike/>
        <sz val="11"/>
        <color rgb="FFFF0000"/>
        <rFont val="Calibri"/>
        <family val="2"/>
        <charset val="204"/>
        <scheme val="minor"/>
      </rPr>
      <t xml:space="preserve">
В следующем ИЗМ указать основание "…. (щебень, скальник)" именно для опор 14 и 14.1</t>
    </r>
    <r>
      <rPr>
        <strike/>
        <sz val="11"/>
        <color theme="1"/>
        <rFont val="Calibri"/>
        <family val="2"/>
        <charset val="204"/>
        <scheme val="minor"/>
      </rPr>
      <t xml:space="preserve"> 500 мм фр.70-100 с расклинцовкой 20-40 (От снабжения предоставить паспорта).
</t>
    </r>
    <r>
      <rPr>
        <b/>
        <strike/>
        <sz val="11"/>
        <color rgb="FFFF0000"/>
        <rFont val="Calibri"/>
        <family val="2"/>
        <charset val="204"/>
        <scheme val="minor"/>
      </rPr>
      <t>там где была замена грунта на щебень, скальник
необходимо направить исполнительную схему в ДПР (2 опоры) до 6.02.26 - после предоставления паспортов на щебень и скальник
Внести данные в ПОС и ГП</t>
    </r>
    <r>
      <rPr>
        <strike/>
        <sz val="11"/>
        <color theme="1"/>
        <rFont val="Calibri"/>
        <family val="2"/>
        <charset val="204"/>
        <scheme val="minor"/>
      </rPr>
      <t xml:space="preserve">
Для снятия предписания изменить пояснительную часть, Текст согласован и отправлен . 30.04.2026</t>
    </r>
    <r>
      <rPr>
        <sz val="11"/>
        <color theme="1"/>
        <rFont val="Calibri"/>
        <family val="2"/>
        <scheme val="minor"/>
      </rPr>
      <t xml:space="preserve">.
</t>
    </r>
    <r>
      <rPr>
        <sz val="11"/>
        <color rgb="FFFF0000"/>
        <rFont val="Calibri"/>
        <family val="2"/>
        <charset val="204"/>
        <scheme val="minor"/>
      </rPr>
      <t>Выполнено!</t>
    </r>
  </si>
  <si>
    <t>№ по разделу</t>
  </si>
  <si>
    <t>Наименоание участка</t>
  </si>
  <si>
    <t>Состав папки</t>
  </si>
  <si>
    <t>Итого руб без НДС</t>
  </si>
  <si>
    <t>Формирование папки (печать)</t>
  </si>
  <si>
    <t>Примечания</t>
  </si>
  <si>
    <t>4 неделя</t>
  </si>
  <si>
    <t>1 неделя</t>
  </si>
  <si>
    <t>2 неделя</t>
  </si>
  <si>
    <t>3 неделя</t>
  </si>
  <si>
    <t>ОПн1-ОПн14.1</t>
  </si>
  <si>
    <t>ОПн-1;3;3.1;4;5;7;13 (Фм-9); 
ОПн-2;6 (Фм-10); 
ОПн-8 (Фм-24);
ОПн-14; 14.1 (Фм-28)</t>
  </si>
  <si>
    <t>Сформирована</t>
  </si>
  <si>
    <t>ОПн24-ОПн116</t>
  </si>
  <si>
    <t>ОПн-24; 114 (Фм-8);
ОПн-111.1; 114.1; 116 (Фм-2);
ОПн-111.2; 112; 113 (Фм-7)</t>
  </si>
  <si>
    <t>ОПн58</t>
  </si>
  <si>
    <t>ОПн-58 (Фм-3)</t>
  </si>
  <si>
    <t>ОПн118</t>
  </si>
  <si>
    <t>ОПн118 (Фм-2)</t>
  </si>
  <si>
    <t>ОПн119-ОПн153</t>
  </si>
  <si>
    <t>ОПн119; 120 (Фм-7);
ОПн120.1 (Фм-24);
ОПн123; 124; 153 (Фм-8)</t>
  </si>
  <si>
    <t>ОПн154-ОПн253.3</t>
  </si>
  <si>
    <t xml:space="preserve">Опн-154; 155; 156; 162; 163; 164 (Фм-7); 
Опн-157; 158; 159; 161; 165 (Фм-3); 
Опн-160; 166 (Фм-2); 
Опн-253.3 (Фм-28); </t>
  </si>
  <si>
    <t>ОПн254-ОПн273.1</t>
  </si>
  <si>
    <t>ОПн274-ОПн299</t>
  </si>
  <si>
    <t>ОПн300-ОПн304</t>
  </si>
  <si>
    <t>ОПн15-ОПн18</t>
  </si>
  <si>
    <t>Опн-15-18 (4щт.)</t>
  </si>
  <si>
    <t>ОПн19-ОПн57</t>
  </si>
  <si>
    <t>Опн-19-47 (28шт); Опн-57</t>
  </si>
  <si>
    <t>ОПн48-ОПн117</t>
  </si>
  <si>
    <t xml:space="preserve">Опн-48-56; ОПн115; 117 </t>
  </si>
  <si>
    <t>ОПн59-ОПн103</t>
  </si>
  <si>
    <t>Опн-59-66 (7шт); Опн-77;102;103</t>
  </si>
  <si>
    <t>ОПн 67- 253.2</t>
  </si>
  <si>
    <t>Опн-67-73(7шт); 76; 78; 82 (5шт); 84-101 (18шт); 104-111 (8шт); 187; 191-196 (6шт); 199; 227- 253 (26шт); 253.1; 253.2</t>
  </si>
  <si>
    <t>ОПн125-142</t>
  </si>
  <si>
    <t>Опн-125-143 (19шт); (рсм 6)</t>
  </si>
  <si>
    <t>Опн Н1-Н6 (5шт); (рсм7)</t>
  </si>
  <si>
    <t>ОПн167-ОПн226</t>
  </si>
  <si>
    <t>ОПн167 - 226 (50шт) (рсм)</t>
  </si>
  <si>
    <t>ОПв15.1-ОПв18</t>
  </si>
  <si>
    <t>ОПв15.1; 15.2 (рсм 8-1);16-17 (рсм 8-2); 
18 (рсм 8-4).</t>
  </si>
  <si>
    <t>ОПВ 1-6</t>
  </si>
  <si>
    <t>ОПВ-1; 2; 1.1; 1.3;.1.4; 1.6; 5; 6</t>
  </si>
  <si>
    <t>ОПВ 7-9</t>
  </si>
  <si>
    <t>ОПВ -7; 8; 9</t>
  </si>
  <si>
    <t>1 171 780.86</t>
  </si>
  <si>
    <t>ОПВ 10-12</t>
  </si>
  <si>
    <t>ОПВ-10; 11; 12</t>
  </si>
  <si>
    <t>ОПВ 13-15</t>
  </si>
  <si>
    <t>ОПВ-13; 14;  15</t>
  </si>
  <si>
    <t>1 843 985,1,2</t>
  </si>
  <si>
    <t>ОПВ 19-24</t>
  </si>
  <si>
    <t>ОПВ 19; 20.1; 21 -24 (4шт)</t>
  </si>
  <si>
    <t>Неподвижная опора</t>
  </si>
  <si>
    <t>Н1; Н2; Н2.1; Н3; Н4</t>
  </si>
  <si>
    <t>Подписано до Бет. Колонны</t>
  </si>
  <si>
    <t>Н5-Н18 (14шт)</t>
  </si>
  <si>
    <t>Н19; Н20; Н20.1; 21; 22 (5 шт)</t>
  </si>
  <si>
    <t>Н23 - Н35 (13шт).</t>
  </si>
  <si>
    <t>550  151,4</t>
  </si>
  <si>
    <t>Н70-76</t>
  </si>
  <si>
    <t>Н-70; 71; 73-76 (4шт)</t>
  </si>
  <si>
    <t>Н72-77</t>
  </si>
  <si>
    <t>Н-72; 77</t>
  </si>
  <si>
    <t>1 616 229.41</t>
  </si>
  <si>
    <t>Труба сварка</t>
  </si>
  <si>
    <t>Цена учтена в УТ12-КМ4</t>
  </si>
  <si>
    <t>Готово к подписанию, ждет подписания скользящих опор</t>
  </si>
  <si>
    <t>Лотки</t>
  </si>
  <si>
    <t>ИД есть на 100%. Подписан нижний лоток. Верхний подпишется после устранения протечек.</t>
  </si>
  <si>
    <t>УТ4-УТ7 Низ</t>
  </si>
  <si>
    <t>УТ7-УТ9 низ</t>
  </si>
  <si>
    <t>УТ4-УТ7 верх</t>
  </si>
  <si>
    <t>УТ7-УТ9 верх</t>
  </si>
  <si>
    <t>СОДК</t>
  </si>
  <si>
    <t>Скользячие Опоры</t>
  </si>
  <si>
    <t>ИД готова на 70%. Предписание РСК. Согласование подкладок</t>
  </si>
  <si>
    <t>Граница проектирования-УТ1</t>
  </si>
  <si>
    <t>УТ4-УТ6</t>
  </si>
  <si>
    <t>УТ6-УТ7</t>
  </si>
  <si>
    <t>УТ7-УТ8</t>
  </si>
  <si>
    <t>УТ8-УТ9</t>
  </si>
  <si>
    <t>УТ15.2-УТ16</t>
  </si>
  <si>
    <t>Неподвижная опора лотковой части</t>
  </si>
  <si>
    <t>Н 43</t>
  </si>
  <si>
    <t>Н 44</t>
  </si>
  <si>
    <t>Н 45</t>
  </si>
  <si>
    <t>Н 46</t>
  </si>
  <si>
    <t>Н 47</t>
  </si>
  <si>
    <t>Н 48</t>
  </si>
  <si>
    <t>Н 49</t>
  </si>
  <si>
    <t>Н 50</t>
  </si>
  <si>
    <t>Н 51</t>
  </si>
  <si>
    <t>Н 52</t>
  </si>
  <si>
    <t>Н 53</t>
  </si>
  <si>
    <t>ИД сформирована и проверена РСК до плит перекрытия</t>
  </si>
  <si>
    <t>УТ2.2</t>
  </si>
  <si>
    <t>УТ3</t>
  </si>
  <si>
    <t>Подписано частично</t>
  </si>
  <si>
    <t>Траншеи</t>
  </si>
  <si>
    <t>ИД подписана на разроботку и устройство основания (без обратной засыпки)</t>
  </si>
  <si>
    <t>УТ2.2-КР1 (безканал.)</t>
  </si>
  <si>
    <t>КР1+24,5-УТ3 (канал.)</t>
  </si>
  <si>
    <t>УТ3-КМ3 (безканал.)</t>
  </si>
  <si>
    <t>КМ3-КМ3+9,5 (канал.)</t>
  </si>
  <si>
    <t>КР2-УТ4 (канал.)</t>
  </si>
  <si>
    <t>УТ4-УТ7 (канал.)</t>
  </si>
  <si>
    <t>УТ7-УТ9 (канал.)</t>
  </si>
  <si>
    <t>УТ4-УП93 (безканал.)</t>
  </si>
  <si>
    <t>УП93-УП94 (безканал.)</t>
  </si>
  <si>
    <t>УП94-УТ13 (безканал.)</t>
  </si>
  <si>
    <t>УТ13-КР2.1 (безканал.)</t>
  </si>
  <si>
    <t>КР2.1+36,9-КМ4 (канал.)</t>
  </si>
  <si>
    <t>УТ15-УТ15.1 (безканал.)</t>
  </si>
  <si>
    <t>УТ15.2-УТ15.2+15,2 (безканал.)</t>
  </si>
  <si>
    <t>УТ15.2+15,2-УТ15.2+24,4 (канал.)</t>
  </si>
  <si>
    <t>КР3-УТ16 (безканал.)</t>
  </si>
  <si>
    <t>УТ16-УТ16+9,2 (канал.)</t>
  </si>
  <si>
    <t>Колодцы</t>
  </si>
  <si>
    <t>ИД готова на 90%. Есть предписание РСК (протечка колодцев)</t>
  </si>
  <si>
    <t>КД1</t>
  </si>
  <si>
    <t>КД1.1</t>
  </si>
  <si>
    <t>КД1.2</t>
  </si>
  <si>
    <t>КД2</t>
  </si>
  <si>
    <t>КД3</t>
  </si>
  <si>
    <t>КД4</t>
  </si>
  <si>
    <t>КД5</t>
  </si>
  <si>
    <t>КД6.1</t>
  </si>
  <si>
    <t>КД7</t>
  </si>
  <si>
    <t>КД8</t>
  </si>
  <si>
    <t>КД8.1</t>
  </si>
  <si>
    <t>КД12</t>
  </si>
  <si>
    <t>КД25.1</t>
  </si>
  <si>
    <t>Обвязка</t>
  </si>
  <si>
    <t>УУСА1 (доп ЗРА эксплуатация)</t>
  </si>
  <si>
    <t>УУТЭ</t>
  </si>
  <si>
    <t>УУСА2 (доп ЗРА эксплуатация)</t>
  </si>
  <si>
    <t>УТ 2</t>
  </si>
  <si>
    <t>УТ2.1</t>
  </si>
  <si>
    <t>КР.1</t>
  </si>
  <si>
    <t>КР-2</t>
  </si>
  <si>
    <t>УТ 3</t>
  </si>
  <si>
    <t>УТ 4</t>
  </si>
  <si>
    <t>УТ 5</t>
  </si>
  <si>
    <t>УТ 6</t>
  </si>
  <si>
    <t>УТ 7</t>
  </si>
  <si>
    <t>УТ 8</t>
  </si>
  <si>
    <t>УТ 9</t>
  </si>
  <si>
    <t>УТ 10</t>
  </si>
  <si>
    <t>УТ 11</t>
  </si>
  <si>
    <t>УТ 12</t>
  </si>
  <si>
    <t>УТ 13</t>
  </si>
  <si>
    <t>КР 2.1</t>
  </si>
  <si>
    <t>КМ 4</t>
  </si>
  <si>
    <t>УТ 15</t>
  </si>
  <si>
    <t>УТ 15.1</t>
  </si>
  <si>
    <t>УТ 15.2</t>
  </si>
  <si>
    <t>КР 3</t>
  </si>
  <si>
    <t>УТ 16</t>
  </si>
  <si>
    <t>КМ 5</t>
  </si>
  <si>
    <t>Схемы</t>
  </si>
  <si>
    <t>ОПн31</t>
  </si>
  <si>
    <t>Сталь</t>
  </si>
  <si>
    <t>Напраавлены на соглоасование в  ДПР
Металл 05.05.26
Резина 08.05.26</t>
  </si>
  <si>
    <t>ОПн35</t>
  </si>
  <si>
    <t>ОПн42</t>
  </si>
  <si>
    <t>ОПн107</t>
  </si>
  <si>
    <t>ОПн111.1</t>
  </si>
  <si>
    <t>ОПн157</t>
  </si>
  <si>
    <t>ОПн159</t>
  </si>
  <si>
    <t>ОПн160</t>
  </si>
  <si>
    <t>ОПн189</t>
  </si>
  <si>
    <t>ОПн192</t>
  </si>
  <si>
    <t>ОПн201</t>
  </si>
  <si>
    <t>ОПн206</t>
  </si>
  <si>
    <t>ОПн208</t>
  </si>
  <si>
    <t>ОПн216</t>
  </si>
  <si>
    <t>ОПн223</t>
  </si>
  <si>
    <t>ОПн225</t>
  </si>
  <si>
    <t>ОПн234</t>
  </si>
  <si>
    <t>ОПн235</t>
  </si>
  <si>
    <t>ОПн236</t>
  </si>
  <si>
    <t>ОПн254</t>
  </si>
  <si>
    <t>ОПн255</t>
  </si>
  <si>
    <t>ОПн256</t>
  </si>
  <si>
    <t>ОПн257</t>
  </si>
  <si>
    <t>ОПн258</t>
  </si>
  <si>
    <t>ОПн259</t>
  </si>
  <si>
    <t>ОПн260</t>
  </si>
  <si>
    <t>ОПн261</t>
  </si>
  <si>
    <t>ОПн262</t>
  </si>
  <si>
    <t>ОПн263</t>
  </si>
  <si>
    <t>ОПн265</t>
  </si>
  <si>
    <t>ОПн273</t>
  </si>
  <si>
    <t>ОПн276</t>
  </si>
  <si>
    <t>ОПн 278</t>
  </si>
  <si>
    <t>ОПн281</t>
  </si>
  <si>
    <t>ОПн284</t>
  </si>
  <si>
    <t>ОПн285</t>
  </si>
  <si>
    <t>ОПн286</t>
  </si>
  <si>
    <t>ОПн288</t>
  </si>
  <si>
    <t>ОПн289</t>
  </si>
  <si>
    <t>ОПн290</t>
  </si>
  <si>
    <t>ОПн291</t>
  </si>
  <si>
    <t>ОПн292</t>
  </si>
  <si>
    <t>ОПн297</t>
  </si>
  <si>
    <t>ОПн298</t>
  </si>
  <si>
    <t>ОПн299</t>
  </si>
  <si>
    <t>Электрика</t>
  </si>
  <si>
    <t>Металлоконструкции</t>
  </si>
  <si>
    <t>Изоляция стыков</t>
  </si>
  <si>
    <t xml:space="preserve">план </t>
  </si>
  <si>
    <r>
      <t xml:space="preserve">
ИЗМ15,16,17 загружены в ЦУС
Приказ выпущен
Идет проверка параллельно с проверкой ИД в РСК
 </t>
    </r>
    <r>
      <rPr>
        <b/>
        <sz val="12"/>
        <color rgb="FFFF0000"/>
        <rFont val="Calibri"/>
        <family val="2"/>
        <charset val="204"/>
        <scheme val="minor"/>
      </rPr>
      <t>ПРОГРАММА ИСПЫТАНИЙ 21.11.25 (Подпись Титул исправить!)
сорректировать на строительной площадки под итог.
Уточнить передачу данных по Графической части.</t>
    </r>
    <r>
      <rPr>
        <b/>
        <sz val="12"/>
        <rFont val="Calibri"/>
        <family val="2"/>
        <charset val="204"/>
        <scheme val="minor"/>
      </rPr>
      <t xml:space="preserve">
отработано. Сорока К. повторно предоставить схемы, направить на проверку СК 27.01.26.
</t>
    </r>
    <r>
      <rPr>
        <b/>
        <sz val="16"/>
        <color rgb="FFFF0000"/>
        <rFont val="Calibri"/>
        <family val="2"/>
        <charset val="204"/>
        <scheme val="minor"/>
      </rPr>
      <t xml:space="preserve">12.02.26 </t>
    </r>
    <r>
      <rPr>
        <b/>
        <sz val="12"/>
        <color rgb="FFFF0000"/>
        <rFont val="Calibri"/>
        <family val="2"/>
        <charset val="204"/>
        <scheme val="minor"/>
      </rPr>
      <t xml:space="preserve">рассмотрит Овсиенко АА, предоставит недостающие данные
остаток по участку 3, нет фото подключения питающего трубопровода.
УТ3-УТ4 - как производилось заполнение </t>
    </r>
    <r>
      <rPr>
        <b/>
        <sz val="12"/>
        <rFont val="Calibri"/>
        <family val="2"/>
        <charset val="204"/>
        <scheme val="minor"/>
      </rPr>
      <t xml:space="preserve">
комплект с фотками 24.02.2026 направить СК
итоговую пограмму схему 27.02.2026
03.03.2026 рассмотретть фото
04.03.2026 согласовать схему с СК
скорректировать описательную часть к схеме (сроки указать после переговоров)
до 17.03.2026 подготовить схемы, направить в СК на согласование. 
направлены замечания 17.03.26. 
исправят 18.03.26
до 20.03.2026 со стороны СК получить согласование
25.03.26 собрать ВКС, скорректировать графическую часть на ИТОГ.
03.04.2026 выдать ИТОГ и направить РСК
09.04.2026 на ВКС исправить программу под итог
</t>
    </r>
    <r>
      <rPr>
        <b/>
        <sz val="12"/>
        <color rgb="FFFF0000"/>
        <rFont val="Calibri"/>
        <family val="2"/>
        <charset val="204"/>
        <scheme val="minor"/>
      </rPr>
      <t>24.04.2026 год - итоговая версия (Данелия ИН)
15.05.2026 - итоговая версия Комар ИВ
18.05.26 направлена финальная версия, 20.05. ВКС, итог к 26.05.26
21.05.26 направлен в адрес Заказчика итог 
до 29.05.26 рассмотреть, согласовать
02.06.26 Согласована</t>
    </r>
  </si>
  <si>
    <t>Внесение изменений полученных от ПТО, будут учтены в ИЗМ 17 до 19.12.25
Предоставить разрешение на внесение изменений предоставить Заказчику изменения РД/ПД за весь период.
корректировка РД по замечаниям (по итогам приемки ИД)</t>
  </si>
  <si>
    <t>Выполнение 20.05.2026 направит КС2 на проверку Заказчику
и в РСК
соберут еще раз ВОРы направят 27.05.26
За МАЙ подписана 30млн</t>
  </si>
  <si>
    <r>
      <t xml:space="preserve">проетная и рабочая документация в формате разработки.
Сдать комплект ПД и РД Заказчику
до 27.03.26. </t>
    </r>
    <r>
      <rPr>
        <b/>
        <sz val="12"/>
        <color rgb="FFFF0000"/>
        <rFont val="Calibri"/>
        <family val="2"/>
        <charset val="204"/>
        <scheme val="minor"/>
      </rPr>
      <t>Смогут заняться только с 13.04.2026. 
Ермилова Подумать 
НА СЕРВЕР ПД и РД в редактируемом формате (Комар И.В.)
обсудить СРОК назвать!!!</t>
    </r>
    <r>
      <rPr>
        <b/>
        <sz val="12"/>
        <rFont val="Calibri"/>
        <family val="2"/>
        <charset val="204"/>
        <scheme val="minor"/>
      </rPr>
      <t xml:space="preserve"> ДО 26.05.26. ПРЕДОСТАВЛЕНО</t>
    </r>
  </si>
  <si>
    <t>У ПТО нет вопросов к закрузке ИД в ЦУС</t>
  </si>
  <si>
    <t>ФОТО по кварталам. Иванов С.А.
последние фото за 2 квартал 2025
предоставть с 3кв 2025 - 1 кв 2026
до 29.05.26 закончат загрузку</t>
  </si>
  <si>
    <t>Вызывать на работы на наполненном трубопроводе, службу эксплуатации.
С состалением акта что такелажные работы не производились.</t>
  </si>
  <si>
    <t>Загрузить ИД в ЦУС. Сканы. 
Уточнить как загружить архив в ЦУС при подписании в бумаге? 
Перепроверить правильность загруженных файлов!
Згрузить постоянно с реестром</t>
  </si>
  <si>
    <t>УТ12-КР2.1 передать координаты проектные в СК на углы повората и характерных точек оси трубопровода. 
Проверить координаты в проекте. Перфилов А. проверить до 27.01.26.
02.12.25 после сверки с фактом оперелить есть ли выход за оси, выдать заклчение. 3.12.25.
ВСЕ СОВПАДАЕТ С ПРОЕКТОМ (Перфилов А) безканальная прокладка
следующий Н35-УТ4</t>
  </si>
  <si>
    <t>следующий изм, трубы в ППУ изоляции и фас части сталь две марки */*, 
разобраться с материалами в камерах включить в сл ИЗМ
ПЛАН - до 05.06.2026 сл ИЗМ. (сталь с У. Завгородний)</t>
  </si>
  <si>
    <t>Смтеы сбор и внесение всех ИЗМов, план по внесению изменений в сметы. С 26.05.26 приняли в задачи
внесение изменений в смету, на этапе подготовки КС2.</t>
  </si>
  <si>
    <t>При каждом подписании доп соглашения с сметой контракта, направлять официально в РСК
позоции, которые закрыты не должны меняться в меньшую сторону.</t>
  </si>
  <si>
    <t xml:space="preserve">Предоставить график ИД по месяцам, согласовать с СК
рабочий вариант направят 12.05.2026, 
до 22.05.2026 года. Предоставили 26.05.26
предоставлять еженедельно
</t>
  </si>
  <si>
    <r>
      <t xml:space="preserve">Папки сформированы, идет предъявление РСК в соответствии с РД Изм 17
опора трубопровода не соприкасается с опорной поверхностью (висит на трубе)
ДПР 25.09.2025 выдать предложения до 10.10.2025, 14.10.25 
выдано 14.10.25, Строительная площадка подтвердить выполнение работ
выдано в работу все три варианта до 30мм, до 100мм, свыше 100мм
</t>
    </r>
    <r>
      <rPr>
        <sz val="11"/>
        <color rgb="FFFF0000"/>
        <rFont val="Calibri"/>
        <family val="2"/>
        <charset val="204"/>
        <scheme val="minor"/>
      </rPr>
      <t>Повторная проверка после заполнения трубы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charset val="204"/>
        <scheme val="minor"/>
      </rPr>
      <t xml:space="preserve">Устранить остаточные зазоры и неровности бетона (3-5 мм)
</t>
    </r>
    <r>
      <rPr>
        <sz val="11"/>
        <color theme="1"/>
        <rFont val="Calibri"/>
        <family val="2"/>
        <scheme val="minor"/>
      </rPr>
      <t xml:space="preserve">
Решение на качающие опоры 12.02.26. </t>
    </r>
    <r>
      <rPr>
        <b/>
        <sz val="11"/>
        <color theme="1"/>
        <rFont val="Calibri"/>
        <family val="2"/>
        <charset val="204"/>
        <scheme val="minor"/>
      </rPr>
      <t>ДПР 27.02.26. 03.03.2026</t>
    </r>
    <r>
      <rPr>
        <sz val="11"/>
        <color theme="1"/>
        <rFont val="Calibri"/>
        <family val="2"/>
        <scheme val="minor"/>
      </rPr>
      <t xml:space="preserve">
Техкарта по предыдущим решениям на опоры 11.02.2026
Техкарта общая по решениям - 
</t>
    </r>
    <r>
      <rPr>
        <b/>
        <sz val="11"/>
        <color rgb="FFFF0000"/>
        <rFont val="Calibri"/>
        <family val="2"/>
        <charset val="204"/>
        <scheme val="minor"/>
      </rPr>
      <t xml:space="preserve">не качающие опоры - от технолога вопрос по сварному шву с ДПР решить до 13.03.2026 </t>
    </r>
    <r>
      <rPr>
        <sz val="11"/>
        <color rgb="FFFF0000"/>
        <rFont val="Calibri"/>
        <family val="2"/>
        <charset val="204"/>
        <scheme val="minor"/>
      </rPr>
      <t xml:space="preserve">
</t>
    </r>
    <r>
      <rPr>
        <b/>
        <sz val="11"/>
        <color rgb="FFFF0000"/>
        <rFont val="Calibri"/>
        <family val="2"/>
        <charset val="204"/>
        <scheme val="minor"/>
      </rPr>
      <t xml:space="preserve">качающие опоры - решение не выдано. Выдадут 13.03.2026 
</t>
    </r>
    <r>
      <rPr>
        <b/>
        <sz val="11"/>
        <color rgb="FF00B050"/>
        <rFont val="Calibri"/>
        <family val="2"/>
        <charset val="204"/>
        <scheme val="minor"/>
      </rPr>
      <t>совместно с проектировщиками выпустить итог 13.03.2026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charset val="204"/>
        <scheme val="minor"/>
      </rPr>
      <t xml:space="preserve">
сроки поставки пластины указать с учетом поставки декабря
</t>
    </r>
    <r>
      <rPr>
        <b/>
        <sz val="11"/>
        <color rgb="FFC00000"/>
        <rFont val="Calibri"/>
        <family val="2"/>
        <charset val="204"/>
        <scheme val="minor"/>
      </rPr>
      <t xml:space="preserve">ДПР проработать вопрос по включению фразы допускаемого прогиба трубопровода не более 0,02*Ду (СП) до заполнения трубопровода.
устройство подпорных пластин после наполнения трубопровода водой. 06.03.2026
</t>
    </r>
    <r>
      <rPr>
        <b/>
        <sz val="11"/>
        <color rgb="FF00B050"/>
        <rFont val="Calibri"/>
        <family val="2"/>
        <charset val="204"/>
        <scheme val="minor"/>
      </rPr>
      <t>ПОВТОРНО решить вопрос. фразы не будет, запрещено производить работы после заполнения</t>
    </r>
  </si>
  <si>
    <r>
      <t xml:space="preserve">Не выполнены подкладки под трубопровод, есть замечания к бетонированию. Сроки 15.12.2025
Физически будут выполнены до 30.11.2025.
после поставки, монтировать 14 дней.
предъявить РСК опоры на предмет отсутствия зазоров
</t>
    </r>
    <r>
      <rPr>
        <b/>
        <sz val="11"/>
        <color theme="5" tint="-0.499984740745262"/>
        <rFont val="Calibri"/>
        <family val="2"/>
        <charset val="204"/>
        <scheme val="minor"/>
      </rPr>
      <t>Уточнили на 17.03.26
75 штук
из них 820 - 43 шт: 14 кач (14 сделано),  29 некач (1шт)
1020 - 32 шт: 32 некач (16 сделано)
Планируемая дата до 30.03.2026
потом переделывать до ???
все сделанные опоры переданы ФОТО и размены ДПР (без ПТО)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>материалы все в наличии!!!</t>
    </r>
  </si>
  <si>
    <t>09.06.26 проектировщики дали расчет объемоы воды, который необходимо слить
09.06.2026 проектировщики смотрят 9 опор, которые необходимо сделать
Иванов направляете фото 9 опор в ДПР 10.06.2026,
 замеры 10.06.2026
10.06.2026 предварительный ответ
решение по сливу 
производство работ до</t>
  </si>
  <si>
    <t>Снято 17.06.26</t>
  </si>
  <si>
    <t>фундамент</t>
  </si>
  <si>
    <t>КМ4-К27 Карпенко РВ</t>
  </si>
  <si>
    <t>К27-УТ15 Карпенко РВ</t>
  </si>
  <si>
    <t>ответы на замечания подготовили, ждут ЭВ с командировки</t>
  </si>
  <si>
    <t>Н34-2.1 Карась Э.В.</t>
  </si>
  <si>
    <t>Ут2.1-Н35 Карась Э.В.</t>
  </si>
  <si>
    <t>Н28-Н29  Карпенко Р.В.</t>
  </si>
  <si>
    <t>Н29-Н30  Карпенко Р.В.</t>
  </si>
  <si>
    <t>Н30-Н31  Карпенко Р.В.</t>
  </si>
  <si>
    <t>Н31-Н32  Карпенко Р.В.</t>
  </si>
  <si>
    <t>Н32-Н33  Карпенко Р.В.</t>
  </si>
  <si>
    <t>Н33-Н34  Карпенко Р.В.</t>
  </si>
  <si>
    <t xml:space="preserve">гермитизация у камер. Если не будет вмешательства со стороны лотков (внешняя сторона камер)
показать каамеру 5 - 26.06.2026 
предоставить факт - фото, схему 23.06.2026
от ДПР принять решение, выдать итог 25.06.2026 </t>
  </si>
  <si>
    <r>
      <t xml:space="preserve">Снятие предписания.
Карпенко подписывает АОСР
Письмо от ССР  о том что подписал АОСР представителем Заказчика
РСК направляет на согласование
снятие (как неактуальное)
контроль ССР по снятию. </t>
    </r>
    <r>
      <rPr>
        <b/>
        <sz val="12"/>
        <color rgb="FFFF0000"/>
        <rFont val="Calibri"/>
        <family val="2"/>
        <charset val="204"/>
        <scheme val="minor"/>
      </rPr>
      <t>Сняли предписание</t>
    </r>
  </si>
  <si>
    <t>Опоры воздушных линий электропередач 6/0,4 кВ и столюовая трансформаторная подстанция СТП-6/0,4</t>
  </si>
  <si>
    <t>Ведомость технической документации предъявляемой при сдаче-приёмке;
Акт технической готовности;
Ведомость изменений и отступлений;
Ведомость электромонтажных недоделок, не препятствующих комплексному опробованию оборудования;
Ведомость смонтированного электрооборудования;
Паспорт заземляющих устройств;
Журнал прокладки кабельных линий;
Кабельно-трубные журналы;
Акт освидетельствования скрытых работ на монтаж кабеля;
Акт освидетельствования скрытых работ на монтаж кабеленесущих конструкций;
Комплект исполнительных схем;
Технический отчёт ЭТЛ;
Сопроводительные документы на используемые материалы.</t>
  </si>
  <si>
    <t>Заземляющие устройства ТС в местах пересечения с ВЛ (ОПв1.3, ОПв1.4, ОПв1.1, ОПн8, ОПн6, ОПн7, ОПн4, Н3, ОПн113, ОПн112, ОПн120.1, ОПн119, ОПн132, Н22, ОПн140, ОПв253.3, ОПн304, ОПв26, ОПн301)</t>
  </si>
  <si>
    <t>Комплектность папок соответствуют 
пункту 1</t>
  </si>
  <si>
    <t>Павильон УТ1</t>
  </si>
  <si>
    <t>(Павильон) Узел учёта тепловой энергии (УУТЭ) - 1</t>
  </si>
  <si>
    <t>(Павильон) Узел учёта тепловой энергии (УУТЭ) - 2</t>
  </si>
  <si>
    <t>Павильон УТ1.1</t>
  </si>
  <si>
    <t>Павильон УТ2</t>
  </si>
  <si>
    <t>Павильон УТ2.1</t>
  </si>
  <si>
    <t>Тепловая камера УТ3</t>
  </si>
  <si>
    <t>Тепловая камера УТ4</t>
  </si>
  <si>
    <t>Тепловая камера УТ5</t>
  </si>
  <si>
    <t>Тепловая камера УТ6</t>
  </si>
  <si>
    <t>Тепловая камера УТ7</t>
  </si>
  <si>
    <t>Тепловая камера УТ8</t>
  </si>
  <si>
    <t>Тепловая камера УТ9</t>
  </si>
  <si>
    <t>Тепловая камера УТ10</t>
  </si>
  <si>
    <t>Тепловая камера УТ11</t>
  </si>
  <si>
    <t>Тепловая камера УТ12</t>
  </si>
  <si>
    <t>Тепловая камера УТ13</t>
  </si>
  <si>
    <t>Тепловая камера КМ5</t>
  </si>
  <si>
    <t>(Павильон) Узел устройства секционирующей арматуры (УУСА) - 1</t>
  </si>
  <si>
    <t>(Павильон) Узел устройства секционирующей арматуры (УУСА) - 2</t>
  </si>
  <si>
    <t xml:space="preserve"> </t>
  </si>
  <si>
    <r>
      <t xml:space="preserve">Планировка территории водоотводные мероприятия???
16.06.2026
передали в ДПР 15.06.2026
ген план доллжны отработать до 19.06.2026
выдать на согласование Стройплощадке  и Заказчику (эксплуатации) до 26.06.2026
</t>
    </r>
    <r>
      <rPr>
        <b/>
        <sz val="12"/>
        <color rgb="FFFF0000"/>
        <rFont val="Calibri"/>
        <family val="2"/>
        <charset val="204"/>
        <scheme val="minor"/>
      </rPr>
      <t xml:space="preserve">30.06.26 направить решение на Заказчика  </t>
    </r>
  </si>
  <si>
    <r>
      <t xml:space="preserve">Таблица по объемам грунта
предоставить таблицу с расчетами под факт 22.05.2026 года
До 02.06.2026 (Анастасия). </t>
    </r>
    <r>
      <rPr>
        <b/>
        <sz val="12"/>
        <color rgb="FFFF0000"/>
        <rFont val="Calibri"/>
        <family val="2"/>
        <charset val="204"/>
        <scheme val="minor"/>
      </rPr>
      <t>Отдельное ВКС</t>
    </r>
    <r>
      <rPr>
        <b/>
        <sz val="12"/>
        <rFont val="Calibri"/>
        <family val="2"/>
        <charset val="204"/>
        <scheme val="minor"/>
      </rPr>
      <t xml:space="preserve">
таблица направлена проектировщикам, 
</t>
    </r>
    <r>
      <rPr>
        <sz val="12"/>
        <color rgb="FFFF0000"/>
        <rFont val="Calibri"/>
        <family val="2"/>
        <charset val="204"/>
        <scheme val="minor"/>
      </rPr>
      <t>последний вариант расчета земли в сл ИЗМ</t>
    </r>
  </si>
  <si>
    <t>ДПР подтв</t>
  </si>
  <si>
    <t>подписано</t>
  </si>
  <si>
    <t>Н25-Н27</t>
  </si>
  <si>
    <t>Н27-Н28</t>
  </si>
  <si>
    <t>КМ4-УТ15 СВАРКА БЕЗ МОНТАЖА</t>
  </si>
  <si>
    <t>УТ15.1-Н76 СВАРКА БЕЗ МОНТАЖА</t>
  </si>
  <si>
    <t>Подписано до устройства стен (необходимо предьявить физ объемы РСК)</t>
  </si>
  <si>
    <t>Н27-Н28  Карпенко Р.В.</t>
  </si>
  <si>
    <t>Н76-КМ5 СВАРКА БЕЗ МОНТАЖА</t>
  </si>
  <si>
    <t>Ут15.1-Н74 Карпенко РВ</t>
  </si>
  <si>
    <t>Н74-Н75 Карпенко РВ</t>
  </si>
  <si>
    <t>Н75-Н76 Карпенко РВ</t>
  </si>
  <si>
    <t>УП7 Карпенко РВ</t>
  </si>
  <si>
    <t>Формируется</t>
  </si>
  <si>
    <t>Устраняются замечания по физ работам</t>
  </si>
  <si>
    <t>Подписано сварка</t>
  </si>
  <si>
    <t>КМ4-К27 Карпенко РВ монтаж</t>
  </si>
  <si>
    <t>предыдущие работы??? Опоры скользящие</t>
  </si>
  <si>
    <t>Подкладки (сталь
+ резина максимум дополнительо 3шт, всего 12мм)</t>
  </si>
  <si>
    <t>Подкладки
1 изм листа ПД по резине, по металическим листам оставляем
2 схемы прислать 254 и 268
3 высота резины не более 12 мм
4 решение по исправлению Яхудин</t>
  </si>
  <si>
    <t>Сформирована, 
В ИД внесен изм 22.</t>
  </si>
  <si>
    <t xml:space="preserve">КД14 </t>
  </si>
  <si>
    <t>Подписано до монтажа ж/б элемнтов (необходимо предьявить физ. объемы РСК)</t>
  </si>
  <si>
    <t>Подписана срезка ПРС, необходимы данные о фактич. смонтированном ж/б</t>
  </si>
  <si>
    <t>Готовится инф. для изм. в РД по фактич. смонтир. ж/б</t>
  </si>
  <si>
    <t>Подписана срезка ПРС, готовится инф. для изм. в РД по фактич. смонтир. ж/б</t>
  </si>
  <si>
    <t>Необходимы данные о фактич. смонтированном ж/б</t>
  </si>
  <si>
    <t>Подписана разработка и устр. основания, осталась обратная засыпка песком и грунтом</t>
  </si>
  <si>
    <t>Подписана разработка и устр. основания, осталась обратная засыпка грунтом</t>
  </si>
  <si>
    <t>УТ2-Н25  Карпенко Р.В. монтаж</t>
  </si>
  <si>
    <t>Н25-Н27  Карпенко Р.В .монтаж</t>
  </si>
  <si>
    <t>новых-0</t>
  </si>
  <si>
    <t>ОПн279-ОПн291</t>
  </si>
  <si>
    <t>Опн-279; 281; 289; 291 (Фм-33)</t>
  </si>
  <si>
    <t>260 964.51</t>
  </si>
  <si>
    <t xml:space="preserve">Комплект ИД готов, прооверен, замечание устранены. Можно закрыть прокол ( при внесения в ПД и РД марку стали футляров), ну нельзя закрыть протаскивание трубы т.к. для протаскивания необходимо закрыть изоляцию а для этого нужно зарыть нижние лотки, не закрыты по причине предписаний. Предписание снято </t>
  </si>
  <si>
    <t>сл ИЗМ 31.07.2026</t>
  </si>
  <si>
    <t>следующий</t>
  </si>
  <si>
    <r>
      <t xml:space="preserve">гермитизация у камер. Если не будет вмешательства со стороны лотков (внешняя сторона камер)
</t>
    </r>
    <r>
      <rPr>
        <sz val="12"/>
        <color rgb="FFFF0000"/>
        <rFont val="Times New Roman"/>
        <family val="1"/>
        <charset val="204"/>
      </rPr>
      <t>у СК нет понимания по узлу, держит гермитизатор или нет</t>
    </r>
  </si>
  <si>
    <t>до 31 июля</t>
  </si>
  <si>
    <r>
      <t xml:space="preserve">Шпунты.
часть шпунтов исключат в следующем изм!
часть оставят возле проезжих частей, ждем когда уйдет вода.  
Стр площадка предоставить фотоотчеты что с дорогой всё хорошо.
ДПР принять решение, </t>
    </r>
    <r>
      <rPr>
        <b/>
        <sz val="12"/>
        <color rgb="FFFF0000"/>
        <rFont val="Calibri"/>
        <family val="2"/>
        <charset val="204"/>
        <scheme val="minor"/>
      </rPr>
      <t xml:space="preserve">исключили ВСЕ ШПУНТЫ в ИЗМ19 </t>
    </r>
    <r>
      <rPr>
        <b/>
        <sz val="12"/>
        <rFont val="Calibri"/>
        <family val="2"/>
        <charset val="204"/>
        <scheme val="minor"/>
      </rPr>
      <t xml:space="preserve">
</t>
    </r>
  </si>
  <si>
    <t>КЖ1 КЖ2 24.07.2026
строительная площадка 28.07.2026 ответ
внесение ИЗМ 31.07.2026 НОВЫЙ ИЗМ</t>
  </si>
  <si>
    <t>ТЕХ КАРТА - опоры, резинки
28.07.2026</t>
  </si>
  <si>
    <r>
      <t xml:space="preserve">Скользащие опоры
1 расчеты + паспорт на каждую (18шт). Проговорить с заводом
2 РПСО
передать 5 шт в ДПР до 24.07.26
</t>
    </r>
    <r>
      <rPr>
        <b/>
        <sz val="18"/>
        <color theme="1"/>
        <rFont val="Calibri"/>
        <family val="2"/>
        <charset val="204"/>
        <scheme val="minor"/>
      </rPr>
      <t>фото в группу выложить по каждой опоре</t>
    </r>
  </si>
  <si>
    <t>1) Оформил типовые схемы по факту смонтированных вариантов исполнения заземления - предварительно переданы для согласования проектировщикам;
2) Запрос у отдела закупок недостающей документации на факт применяемых материалов;</t>
  </si>
  <si>
    <t>УТ2-Н27</t>
  </si>
  <si>
    <t>Н27-УТ2.1</t>
  </si>
  <si>
    <t>Сформировано</t>
  </si>
  <si>
    <t>4,1</t>
  </si>
  <si>
    <t>176-констр.подбетонки</t>
  </si>
  <si>
    <t>сделать акт освидетельствования ответственных конструкций- выполнено
на проверке РСК
Дата окончания работ 12.09.2026</t>
  </si>
  <si>
    <t>сделать акт освидетельствования ответственных конструкций- выполнено
на проверке РСК
Дата окончания работ 26.08.2026</t>
  </si>
  <si>
    <t>сделать акт освидетельствования ответственных конструкций- выполнено
на проверке РСК
Дата окончания работ 17.10.2026</t>
  </si>
  <si>
    <t>сделать акт освидетельствования ответственных конструкций- выполнено
на проверке РСК
Дата окончания работ 23.10.2026</t>
  </si>
  <si>
    <t>сделать акт освидетельствования ответственных конструкций- выполнено
на проверке РСК
Дата окончания работ 29.10.2026</t>
  </si>
  <si>
    <t>стены отремонтировать, Стены проверены
Дата окончания работ 05.09.2026</t>
  </si>
  <si>
    <t>стены отремонтировать, Стены проверены
Дата окончания работ 17.09.2026</t>
  </si>
  <si>
    <t>стены отремонтировать, Стены проверены
Дата окончания работ 20.08.2026</t>
  </si>
  <si>
    <t>стены отремонтировать, Стены проверены
Дата окончания работ 11.08.2026</t>
  </si>
  <si>
    <t>стены отремонтировать, Стены проверены
Дата окончания работ 01.09.2026</t>
  </si>
  <si>
    <t>стены отремонтировать, Стены проверены
Дата окончания работ 24.09.2026</t>
  </si>
  <si>
    <t>стены отремонтировать, Стены проверены
Дата окончания работ 30.09.2026</t>
  </si>
  <si>
    <t>стены отремонтировать, Стены проверены
Дата окончания работ 06.10.2026</t>
  </si>
  <si>
    <t>стены отремонтировать, Стены проверены
Дата окончания работ 12.10.2026</t>
  </si>
  <si>
    <t>стены отремонтировать, Стены проверены
Дата окончания работ 04.10.2026</t>
  </si>
  <si>
    <t>Дата окончания работ 10.10.2026</t>
  </si>
  <si>
    <t>Дата окончания работ 16.10.2026</t>
  </si>
  <si>
    <t>сделать акт освидетельствования ответственных конструкций- выполнено
на проверке РСК
Выполнено (ожидаем поставку герметизаторов)24.08.2026</t>
  </si>
  <si>
    <t>стены отремонтировать, Стены проверены
Выполнено  (ожидаем поставку герметизаторов)24.08.2026</t>
  </si>
  <si>
    <t>Опора низкая</t>
  </si>
  <si>
    <t>Опора низкая (ростверки)</t>
  </si>
  <si>
    <t>УТ1 ( строительная часть)</t>
  </si>
  <si>
    <t>УТ1.1 ( строительная часть)</t>
  </si>
  <si>
    <t>УТ1.1 ( металлоконструкции))</t>
  </si>
  <si>
    <t>УТ2.1 ( строительная часть)</t>
  </si>
  <si>
    <t>УТ2.1 ( металлоконструкции))</t>
  </si>
  <si>
    <t>УТ2 ( строительная часть)</t>
  </si>
  <si>
    <t>УТ2 ( металлоконструкции))</t>
  </si>
  <si>
    <t>УУСА 1 ( строительная часть)</t>
  </si>
  <si>
    <t>УТ1 ( металлоконструкции)</t>
  </si>
  <si>
    <t>УУСА 2 ( строительная часть)</t>
  </si>
  <si>
    <t>УУСА 1 ( металлоконструкции)</t>
  </si>
  <si>
    <t>УУСА 2 ( металлоконструкции)</t>
  </si>
  <si>
    <t>УУТЭ 2 ( строительная часть)</t>
  </si>
  <si>
    <t>УУТЭ 2 ( металлоконструкции)</t>
  </si>
  <si>
    <t>УУТЭ 1 ( строительная часть)</t>
  </si>
  <si>
    <t>УУТЭ 1 ( металлоконструкции)</t>
  </si>
  <si>
    <t>Опора высокая</t>
  </si>
  <si>
    <t>35 033 258.56</t>
  </si>
  <si>
    <t>Ферма Ф1 (Ф1-1/Ф1.4)</t>
  </si>
  <si>
    <t>Ферма Ф2 (Ф2-1/Ф2.4)</t>
  </si>
  <si>
    <t>Ферма Ф3 (Ф3-1/Ф3.4)</t>
  </si>
  <si>
    <t>Ферма Ф4 (Ф4-1/Ф4.6)</t>
  </si>
  <si>
    <t>Балка БР1 (БР1-1/1-4)</t>
  </si>
  <si>
    <t xml:space="preserve"> Опора Опв 1.1 (эстакада 1)</t>
  </si>
  <si>
    <t xml:space="preserve"> Опора Опв 1.2 (эстакада 2)</t>
  </si>
  <si>
    <t xml:space="preserve"> Опора Опв 1.3 (эстакада 1)</t>
  </si>
  <si>
    <t xml:space="preserve"> Опора Опв 1.4 (эстакада 2)</t>
  </si>
  <si>
    <t xml:space="preserve"> Опора Опв 1.5 (эстакада 2)</t>
  </si>
  <si>
    <t xml:space="preserve"> Опора Опв 1.6 (эстакада 2)</t>
  </si>
  <si>
    <t xml:space="preserve"> Опора Опв 5 (эстакада 3)</t>
  </si>
  <si>
    <t xml:space="preserve"> Опора Опв 5.1 (эстакада 3)</t>
  </si>
  <si>
    <t xml:space="preserve"> Опора Опв 5.2 (эстакада 3)</t>
  </si>
  <si>
    <t xml:space="preserve"> Опора Опв 6 (эстакада 3)</t>
  </si>
  <si>
    <t xml:space="preserve"> Опора Опв 7</t>
  </si>
  <si>
    <t xml:space="preserve"> Опора Опв 8</t>
  </si>
  <si>
    <t xml:space="preserve"> Опора Опв 6.1</t>
  </si>
  <si>
    <t xml:space="preserve"> Опора Опв 6.2</t>
  </si>
  <si>
    <t xml:space="preserve"> Опора Опв 9</t>
  </si>
  <si>
    <t xml:space="preserve"> Опора Опв 10</t>
  </si>
  <si>
    <t xml:space="preserve"> Опора Опв 11</t>
  </si>
  <si>
    <t xml:space="preserve"> Опора Опв 12</t>
  </si>
  <si>
    <t xml:space="preserve"> Опора Опв 13</t>
  </si>
  <si>
    <t xml:space="preserve"> Опора Опв 14</t>
  </si>
  <si>
    <t xml:space="preserve"> Опора Опв 14.1</t>
  </si>
  <si>
    <t xml:space="preserve"> Опора Опв 14.2</t>
  </si>
  <si>
    <t xml:space="preserve"> Опора Опв 15</t>
  </si>
  <si>
    <t xml:space="preserve"> Опора Опв 19</t>
  </si>
  <si>
    <t xml:space="preserve"> Опора Опв 20</t>
  </si>
  <si>
    <t xml:space="preserve"> Опора Опв 20.1</t>
  </si>
  <si>
    <t xml:space="preserve"> Опора Опв 21</t>
  </si>
  <si>
    <t xml:space="preserve"> Опора Опв 22</t>
  </si>
  <si>
    <t xml:space="preserve"> Опора Опв 23</t>
  </si>
  <si>
    <t xml:space="preserve"> Опора Опв 24</t>
  </si>
  <si>
    <t xml:space="preserve"> Опора Опв 24.1</t>
  </si>
  <si>
    <t xml:space="preserve"> Опора Опв 25</t>
  </si>
  <si>
    <t xml:space="preserve"> Опора Опв 26</t>
  </si>
  <si>
    <t xml:space="preserve"> Опора Опв 25.1</t>
  </si>
  <si>
    <t xml:space="preserve"> Опора Опв 25.2</t>
  </si>
  <si>
    <t xml:space="preserve">Ферма Ф1 </t>
  </si>
  <si>
    <t>Ферма Ф2</t>
  </si>
  <si>
    <t>Ферма Ф3</t>
  </si>
  <si>
    <t>Ферма Ф4</t>
  </si>
  <si>
    <t>Ферма Ф5</t>
  </si>
  <si>
    <t>Ферма Ф6</t>
  </si>
  <si>
    <t>Опора Опв 15.1</t>
  </si>
  <si>
    <t>Опора Опв 15.2</t>
  </si>
  <si>
    <t>Опора Опв 16</t>
  </si>
  <si>
    <t>Опора Опв 17</t>
  </si>
  <si>
    <t>Опора Опв 18</t>
  </si>
  <si>
    <t>Опора Опв 253</t>
  </si>
  <si>
    <t>Опора Опв 253.1</t>
  </si>
  <si>
    <t>Опора Опв 253.2</t>
  </si>
  <si>
    <t>Опора Опв 253.3</t>
  </si>
  <si>
    <t>Опора Опв 1</t>
  </si>
  <si>
    <t>Павильоны (Монолитные фундаменты)</t>
  </si>
  <si>
    <t>Передано в ДПР для в несения в проект</t>
  </si>
  <si>
    <t>п/п</t>
  </si>
  <si>
    <t>Номер разрешения</t>
  </si>
  <si>
    <t>Дата внесения изменения</t>
  </si>
  <si>
    <t>Обозначение</t>
  </si>
  <si>
    <t>Наименование объекта (по титулу)</t>
  </si>
  <si>
    <t>Номер изменения</t>
  </si>
  <si>
    <t>ГИП</t>
  </si>
  <si>
    <t>Стадия</t>
  </si>
  <si>
    <t>Отдел</t>
  </si>
  <si>
    <t>24Т-24</t>
  </si>
  <si>
    <t>11.2024 </t>
  </si>
  <si>
    <t>2020.069.3000-ТМ-АТС</t>
  </si>
  <si>
    <t>Тепломагистраль № 35 от Хабаровской ТЭЦ-3 в городе Хабаровске»</t>
  </si>
  <si>
    <t> Главный инженер проекта Попов Р.А.</t>
  </si>
  <si>
    <t> Р</t>
  </si>
  <si>
    <t>ДПР</t>
  </si>
  <si>
    <t>25Т-24</t>
  </si>
  <si>
    <t>2020.069.3000-ТМ-КЖ</t>
  </si>
  <si>
    <t>26Т-24</t>
  </si>
  <si>
    <t>2020.069.3000-ТМ-КМ</t>
  </si>
  <si>
    <t>27Т-24</t>
  </si>
  <si>
    <t>2020.069.3000-ТМ-ТС</t>
  </si>
  <si>
    <t>28Т-24</t>
  </si>
  <si>
    <t>2020.069.3000-ТМ-ЭС</t>
  </si>
  <si>
    <t>52Т-24</t>
  </si>
  <si>
    <t>12.2024 </t>
  </si>
  <si>
    <t> Главный инженер проекта Гулеенков В.А.</t>
  </si>
  <si>
    <t>68Т-24</t>
  </si>
  <si>
    <t>42Т-25</t>
  </si>
  <si>
    <t>30.03.2025 </t>
  </si>
  <si>
    <t>2020.069.3000-ТМ-ГП</t>
  </si>
  <si>
    <t>Тепломагистраль № 35 от Хабаровской ТЭЦ-3 в городе Хабаровске</t>
  </si>
  <si>
    <t>46Т-25</t>
  </si>
  <si>
    <t>04.2025 </t>
  </si>
  <si>
    <t>47Т-25</t>
  </si>
  <si>
    <t>2020.069.3000-ТМ-КЖ1/КЖ2</t>
  </si>
  <si>
    <t>48Т-25</t>
  </si>
  <si>
    <t>66Т-25 </t>
  </si>
  <si>
    <t>22.04.2025 </t>
  </si>
  <si>
    <t>2020.069.3000-ТМ-ГП </t>
  </si>
  <si>
    <t> Тепломагистраль № 35 от Хабаровской ТЭЦ-3 в городе Хабаровске</t>
  </si>
  <si>
    <t>Комар И.</t>
  </si>
  <si>
    <t>РД</t>
  </si>
  <si>
    <t>71Т-25</t>
  </si>
  <si>
    <t>04.25 </t>
  </si>
  <si>
    <t> 2020.069.3000-ТМ-ПОС</t>
  </si>
  <si>
    <t xml:space="preserve">Тепломагистраль №35 от Хабаровской  ТЭЦ-3 в городе Хабаровске </t>
  </si>
  <si>
    <t> 7</t>
  </si>
  <si>
    <t> ПД</t>
  </si>
  <si>
    <t>80Т-25</t>
  </si>
  <si>
    <t> 2020.069.3000-ТМ-ГП</t>
  </si>
  <si>
    <t>Тепломагистраль №35 от Хабаровской  ТЭЦ-3 в городе Хабаровске</t>
  </si>
  <si>
    <t>Р</t>
  </si>
  <si>
    <t>81Т-25</t>
  </si>
  <si>
    <t>27.05.2025 </t>
  </si>
  <si>
    <t> 2020.069.3000-ТМ-ПЗ</t>
  </si>
  <si>
    <t> П</t>
  </si>
  <si>
    <t> ДПР</t>
  </si>
  <si>
    <t> 2020.069.3000-ТМ-ИЛО</t>
  </si>
  <si>
    <t>Тепломагистраль № 35 от Хабаровской ТЭЦ-3 в городе Хабаровске </t>
  </si>
  <si>
    <t> 8</t>
  </si>
  <si>
    <t>2020.069.3000-ТМ-ИЛО.АС </t>
  </si>
  <si>
    <t>82Т-25</t>
  </si>
  <si>
    <t> 2020.069.3000-ТМ-ТКР</t>
  </si>
  <si>
    <t>Тепломагистраль № 35 от Хабаровской ТЭЦ-3 в городе Хабаровске  </t>
  </si>
  <si>
    <t>14 </t>
  </si>
  <si>
    <t>83Т-25</t>
  </si>
  <si>
    <t>2020.069.3000-ТМ-ППО</t>
  </si>
  <si>
    <t>84Т-25</t>
  </si>
  <si>
    <t>2020.069.3000-ТМ-ООС</t>
  </si>
  <si>
    <t>85Т-25</t>
  </si>
  <si>
    <t>2020.069.3000-ТМ-ТКР.ЭС</t>
  </si>
  <si>
    <t>113Т-25</t>
  </si>
  <si>
    <t>07.2025 </t>
  </si>
  <si>
    <t> 2020.069.3000-ТМ-ТС</t>
  </si>
  <si>
    <t>123Т-25</t>
  </si>
  <si>
    <t>2020.069.3000-ТМ-КЖ1</t>
  </si>
  <si>
    <t> Тепломагистраль №35 от Хабаровской ТЭЦ-3 в городе Хабаровске</t>
  </si>
  <si>
    <t>5 </t>
  </si>
  <si>
    <t>Гулеенков </t>
  </si>
  <si>
    <t>124Т-25</t>
  </si>
  <si>
    <t>05.2025 </t>
  </si>
  <si>
    <t>13.1</t>
  </si>
  <si>
    <t>132Т-25</t>
  </si>
  <si>
    <t>20.08.2025 </t>
  </si>
  <si>
    <t>133Т-25</t>
  </si>
  <si>
    <t>2020.069.3000-ТМ-ПОС</t>
  </si>
  <si>
    <t>134Т-25</t>
  </si>
  <si>
    <t>135Т-25</t>
  </si>
  <si>
    <t>14.1</t>
  </si>
  <si>
    <t>П</t>
  </si>
  <si>
    <t>138Т-25</t>
  </si>
  <si>
    <t>139Т-25</t>
  </si>
  <si>
    <t>140Т-25</t>
  </si>
  <si>
    <t>25.08.2025 </t>
  </si>
  <si>
    <t> 2020.069.3000-ТМ-ИЛО.АС</t>
  </si>
  <si>
    <t>142Т-25</t>
  </si>
  <si>
    <t> 2020.069.3000-ТМ-СМ</t>
  </si>
  <si>
    <t>152Т-25</t>
  </si>
  <si>
    <t>05.09.2025 </t>
  </si>
  <si>
    <t>153Т-25</t>
  </si>
  <si>
    <t> 2020.069.3000-ТМ-ПБ</t>
  </si>
  <si>
    <t>161Т-25</t>
  </si>
  <si>
    <t>17.09.2025 </t>
  </si>
  <si>
    <t>175Т-25</t>
  </si>
  <si>
    <t>02.10.2025 </t>
  </si>
  <si>
    <t>176Т-25</t>
  </si>
  <si>
    <t>03.10.2025 </t>
  </si>
  <si>
    <t>182Т-25</t>
  </si>
  <si>
    <t>14.10.2025 </t>
  </si>
  <si>
    <r>
      <t> </t>
    </r>
    <r>
      <rPr>
        <sz val="10"/>
        <color theme="1"/>
        <rFont val="Times New Roman"/>
        <family val="1"/>
        <charset val="204"/>
      </rPr>
      <t>2020.069.3000-ТМ-СМ</t>
    </r>
  </si>
  <si>
    <t xml:space="preserve">Тепломагистраль № 35 от Хабаровской ТЭЦ-3 в городе Хабаровске  </t>
  </si>
  <si>
    <t>Попов Р.А.</t>
  </si>
  <si>
    <t>Отдел проектирования </t>
  </si>
  <si>
    <t>202Т-25</t>
  </si>
  <si>
    <t>12.2025 </t>
  </si>
  <si>
    <t>203Т-25</t>
  </si>
  <si>
    <t>204Т-25</t>
  </si>
  <si>
    <t>205Т-25</t>
  </si>
  <si>
    <t>206Т-25</t>
  </si>
  <si>
    <t>2020.069.3000-ТМ-КЖ2</t>
  </si>
  <si>
    <t>207Т-25</t>
  </si>
  <si>
    <t>208Т-25</t>
  </si>
  <si>
    <t>209Т-25</t>
  </si>
  <si>
    <t>210Т-25</t>
  </si>
  <si>
    <t>221Т-25</t>
  </si>
  <si>
    <t>222Т-25</t>
  </si>
  <si>
    <t>2020.069.3000-ТМ-ИЛО.АС</t>
  </si>
  <si>
    <t>223Т-25</t>
  </si>
  <si>
    <t> 2020.069.3000-ТМ-АС</t>
  </si>
  <si>
    <t>229Т-25</t>
  </si>
  <si>
    <t>230Т-25</t>
  </si>
  <si>
    <t>08Т-26</t>
  </si>
  <si>
    <t>01.2026 </t>
  </si>
  <si>
    <t>Главный инженер проекта Гулеенков В.А.</t>
  </si>
  <si>
    <t>09Т-26</t>
  </si>
  <si>
    <t>15Т-26</t>
  </si>
  <si>
    <t>16Т-26</t>
  </si>
  <si>
    <t>02.2026 </t>
  </si>
  <si>
    <t>50Т-26</t>
  </si>
  <si>
    <t>56Т-26</t>
  </si>
  <si>
    <t>2020.069.3000-ТМ-ТКР</t>
  </si>
  <si>
    <t>Главный инженер проекта Данелия ИН</t>
  </si>
  <si>
    <t>57Т-26</t>
  </si>
  <si>
    <t>58Т-26</t>
  </si>
  <si>
    <t>59Т-26</t>
  </si>
  <si>
    <t> Главный инженер проекта Гулеенков ВА</t>
  </si>
  <si>
    <t>60Т-26</t>
  </si>
  <si>
    <t xml:space="preserve"> 2020.069.3000-ТМ-КЖ1</t>
  </si>
  <si>
    <t>61Т-26</t>
  </si>
  <si>
    <t>67Т-26</t>
  </si>
  <si>
    <t>03.2026 </t>
  </si>
  <si>
    <t>94Т-26</t>
  </si>
  <si>
    <t>05.2026 </t>
  </si>
  <si>
    <t xml:space="preserve"> Главный инженер проекта Данелия ИН</t>
  </si>
  <si>
    <t>95Т-26</t>
  </si>
  <si>
    <t>96Т-26</t>
  </si>
  <si>
    <t>97Т-26</t>
  </si>
  <si>
    <t>98Т-26</t>
  </si>
  <si>
    <t> 2020.069.3000-ТМ-КЖ1</t>
  </si>
  <si>
    <t>99Т-26</t>
  </si>
  <si>
    <t> 2020.069.3000-ТМ-КЖ2</t>
  </si>
  <si>
    <t>100Т-26</t>
  </si>
  <si>
    <t>101Т-26</t>
  </si>
  <si>
    <t>2020.069.3000-ТМ-АС</t>
  </si>
  <si>
    <t>108Т-26</t>
  </si>
  <si>
    <t>Данелия</t>
  </si>
  <si>
    <t>109Т-26</t>
  </si>
  <si>
    <t>Гулеенков ВА</t>
  </si>
  <si>
    <t>110Т-26</t>
  </si>
  <si>
    <t>06.2026 </t>
  </si>
  <si>
    <t> 2020.069.3000-ТМ-ЭС</t>
  </si>
  <si>
    <t>111Т-26</t>
  </si>
  <si>
    <t>07.2026 </t>
  </si>
  <si>
    <t>112Т-26</t>
  </si>
  <si>
    <t xml:space="preserve"> 2020.069.3000-ТМ-ТС 2020.069.3000-ТМ-КЖ1 2020.069.3000-ТМ-КЖ2                  </t>
  </si>
  <si>
    <t>15                                    10                                      9</t>
  </si>
  <si>
    <t>133Т-26</t>
  </si>
  <si>
    <t xml:space="preserve"> Главный инженер проекта Данелия И.Н.</t>
  </si>
  <si>
    <t>134Т-26</t>
  </si>
  <si>
    <t>08.2026 </t>
  </si>
  <si>
    <t>УТ2-Н35 СВАРКА БЕЗ МОНТАЖА</t>
  </si>
  <si>
    <t>УТ2-Н25  Карпенко Р.В.</t>
  </si>
  <si>
    <t xml:space="preserve">Н25-Н27  Карпенко Р.В </t>
  </si>
  <si>
    <t>УТ2.1-УТ2.2</t>
  </si>
  <si>
    <t>Подписано включая плиты перекрытий</t>
  </si>
  <si>
    <t>Формируется  АООК, г/и швов плит, обустройство камеры</t>
  </si>
  <si>
    <t>Формируется АООК, г/и швов плит, обустройство камер</t>
  </si>
  <si>
    <t>Формируется ИД г/и швов плит, обустройства камер</t>
  </si>
  <si>
    <t>Необходим Изм.24</t>
  </si>
  <si>
    <t>Подписано до плит перекрытий (необходимо предьявить физ объемы РСК)</t>
  </si>
  <si>
    <t xml:space="preserve">Подписано до устройства стен </t>
  </si>
  <si>
    <t>Формируется обр. засыпка песком</t>
  </si>
  <si>
    <t>Формируется далее</t>
  </si>
  <si>
    <t>Затоплен, необходимо раскопать и выполнить оклеечную г/и швов</t>
  </si>
  <si>
    <t xml:space="preserve"> Приступили к формированию </t>
  </si>
  <si>
    <t>ИД готова для предъявления РСК 01.09.2026, необходим Изм. ПД и РД</t>
  </si>
  <si>
    <t>Планируется предъвить РСК 04.09.2026</t>
  </si>
  <si>
    <t>Опн-260; 263; 266; 267; 269; 270  (Фм-14)
Опн-261; 262; 264; 265; 271; 272  (Фм-15)
ОПн-259; 268  (Фм-16)
Опн-255; 273.1  (Фм-18)
Опн-254; 256; 257; 258; 273  (Фм-17)</t>
  </si>
  <si>
    <t>Опн-275; 276; 277; 283; 284; 285; 286; 287; 293; 294; 297  (Фм-14) 
Опн--278; 279; 280; 281; 282; 288; 289; 290; 291; 292; 298; 299 (Фм-15)
Опн-295; 296 (Фм-16)
Опн-274 (Фм-17)</t>
  </si>
  <si>
    <t>Опн-300; 301; 303; 304 (Фм-17)
Опн-302 (Фм-19)</t>
  </si>
  <si>
    <t>Формируется комплект ИД (Выполнены обмеры, скомплектованы сертификаты - 80%) Не завершены СМР (нет покраски)</t>
  </si>
  <si>
    <t>СМР завершено- 100% (выполнены обмеры)</t>
  </si>
  <si>
    <t>Не завершены СМР, выполнены обмеры.</t>
  </si>
  <si>
    <t>Отдельная таблица</t>
  </si>
  <si>
    <t>Отрисовано передача в ДПР 03.09.2026</t>
  </si>
  <si>
    <t>IV этап сдачи
20.11.2026</t>
  </si>
  <si>
    <t>I этап сдачи
20.09.2026</t>
  </si>
  <si>
    <t>II этап сдачи
готовность по 
комплектации
ид 06.09.26</t>
  </si>
  <si>
    <t>II этап сдачи
Комлект ИД готов</t>
  </si>
  <si>
    <t>1) Оформил типовые схемы по факту монтажа раздела ЭС в павильонах (корректировка ВОР, спецификаций применяемых материалов на соответствие количества, устройства уравнивания потенциалов, молниезащиты, кабельных линий и оборудования);
2) Корректировка технических отчетов электротехнической лаборатории;</t>
  </si>
  <si>
    <t>II этап сдачи
готовность по 
комплектации
ид 11.09.26</t>
  </si>
  <si>
    <t>III этап сдачи
до 30.10.2026</t>
  </si>
  <si>
    <t>Комплект исполнительной готов, необходима сверка с производством</t>
  </si>
  <si>
    <t>II этап сдачи
до 15.10.2026</t>
  </si>
  <si>
    <t>Вопросы по физике, нет итоговой строительной готовности</t>
  </si>
  <si>
    <t>1) Оформил типовые схемы по факту монтажа раздела ЭС в павильонах-информация  НЕ передана для согласования по РД;
2) Корректировка технических отчетов электротехнической лаборатории;</t>
  </si>
  <si>
    <t>Сформирован</t>
  </si>
  <si>
    <t>До 01 октября</t>
  </si>
  <si>
    <t>Комплект готов на 01.09.2026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</si>
</sst>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5" tint="-0.49998474074526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color theme="8" tint="-0.249977111117893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strike/>
      <sz val="11"/>
      <color rgb="FFC00000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strike/>
      <sz val="11"/>
      <color rgb="FFFF0000"/>
      <name val="Calibri"/>
      <family val="2"/>
      <charset val="204"/>
      <scheme val="minor"/>
    </font>
    <font>
      <b/>
      <strike/>
      <sz val="11"/>
      <color theme="1"/>
      <name val="Calibri"/>
      <family val="2"/>
      <charset val="204"/>
      <scheme val="minor"/>
    </font>
    <font>
      <b/>
      <strike/>
      <sz val="11"/>
      <color rgb="FFFF0000"/>
      <name val="Calibri"/>
      <family val="2"/>
      <charset val="204"/>
      <scheme val="minor"/>
    </font>
    <font>
      <strike/>
      <sz val="11"/>
      <name val="Calibri"/>
      <family val="2"/>
      <scheme val="minor"/>
    </font>
    <font>
      <b/>
      <strike/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trike/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6"/>
      <color indexed="81"/>
      <name val="Tahoma"/>
      <family val="2"/>
      <charset val="204"/>
    </font>
    <font>
      <sz val="16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8"/>
      <color indexed="81"/>
      <name val="Tahoma"/>
      <family val="2"/>
      <charset val="204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C1FC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A00"/>
        <bgColor indexed="64"/>
      </patternFill>
    </fill>
    <fill>
      <patternFill patternType="solid">
        <fgColor rgb="FF53FF00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8" tint="0.59999389629810485"/>
        <bgColor rgb="FFC9DAF8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8" tint="0.59999389629810485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theme="7" tint="0.59999389629810485"/>
        <bgColor rgb="FFC9DAF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rgb="FFC9DAF8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0" fontId="3" fillId="0" borderId="0"/>
  </cellStyleXfs>
  <cellXfs count="47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right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12" borderId="0" xfId="0" applyFill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0" fontId="0" fillId="7" borderId="3" xfId="0" applyFill="1" applyBorder="1" applyAlignment="1">
      <alignment horizontal="left" vertical="center" wrapText="1"/>
    </xf>
    <xf numFmtId="49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/>
    <xf numFmtId="164" fontId="0" fillId="13" borderId="1" xfId="0" applyNumberForma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/>
    </xf>
    <xf numFmtId="0" fontId="20" fillId="1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0" fillId="13" borderId="3" xfId="0" applyFill="1" applyBorder="1"/>
    <xf numFmtId="0" fontId="20" fillId="13" borderId="3" xfId="0" applyFont="1" applyFill="1" applyBorder="1" applyAlignment="1">
      <alignment horizontal="center" vertical="center" wrapText="1"/>
    </xf>
    <xf numFmtId="0" fontId="0" fillId="13" borderId="4" xfId="0" applyFill="1" applyBorder="1"/>
    <xf numFmtId="0" fontId="2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14" borderId="0" xfId="0" applyFill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20" fillId="1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5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 wrapText="1"/>
    </xf>
    <xf numFmtId="0" fontId="28" fillId="20" borderId="10" xfId="0" applyFont="1" applyFill="1" applyBorder="1" applyAlignment="1">
      <alignment horizontal="center" vertical="center" wrapText="1"/>
    </xf>
    <xf numFmtId="0" fontId="28" fillId="20" borderId="13" xfId="0" applyFont="1" applyFill="1" applyBorder="1" applyAlignment="1">
      <alignment horizontal="center" vertical="center" wrapText="1"/>
    </xf>
    <xf numFmtId="0" fontId="28" fillId="21" borderId="13" xfId="0" applyFont="1" applyFill="1" applyBorder="1" applyAlignment="1">
      <alignment horizontal="center" vertical="center" wrapText="1"/>
    </xf>
    <xf numFmtId="0" fontId="28" fillId="22" borderId="13" xfId="0" applyFont="1" applyFill="1" applyBorder="1" applyAlignment="1">
      <alignment horizontal="center" vertical="center" wrapText="1"/>
    </xf>
    <xf numFmtId="0" fontId="29" fillId="23" borderId="14" xfId="0" applyFont="1" applyFill="1" applyBorder="1" applyAlignment="1">
      <alignment horizontal="center" vertical="center" wrapText="1"/>
    </xf>
    <xf numFmtId="0" fontId="29" fillId="23" borderId="13" xfId="0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25" borderId="13" xfId="0" applyFont="1" applyFill="1" applyBorder="1" applyAlignment="1">
      <alignment horizontal="center" vertical="center" wrapText="1"/>
    </xf>
    <xf numFmtId="0" fontId="28" fillId="25" borderId="13" xfId="0" applyFont="1" applyFill="1" applyBorder="1" applyAlignment="1">
      <alignment vertical="center" wrapText="1"/>
    </xf>
    <xf numFmtId="9" fontId="28" fillId="25" borderId="13" xfId="0" applyNumberFormat="1" applyFont="1" applyFill="1" applyBorder="1" applyAlignment="1">
      <alignment horizontal="center" wrapText="1"/>
    </xf>
    <xf numFmtId="9" fontId="28" fillId="25" borderId="13" xfId="0" applyNumberFormat="1" applyFont="1" applyFill="1" applyBorder="1" applyAlignment="1">
      <alignment horizontal="center" vertical="center" wrapText="1"/>
    </xf>
    <xf numFmtId="9" fontId="28" fillId="0" borderId="13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wrapText="1"/>
    </xf>
    <xf numFmtId="0" fontId="30" fillId="0" borderId="14" xfId="0" applyFont="1" applyBorder="1" applyAlignment="1">
      <alignment horizontal="center" vertical="center" wrapText="1"/>
    </xf>
    <xf numFmtId="0" fontId="28" fillId="0" borderId="17" xfId="0" applyFont="1" applyBorder="1" applyAlignment="1">
      <alignment vertical="center"/>
    </xf>
    <xf numFmtId="0" fontId="5" fillId="5" borderId="14" xfId="0" applyFont="1" applyFill="1" applyBorder="1" applyAlignment="1">
      <alignment vertical="center" wrapText="1"/>
    </xf>
    <xf numFmtId="0" fontId="5" fillId="25" borderId="14" xfId="0" applyFont="1" applyFill="1" applyBorder="1" applyAlignment="1">
      <alignment vertical="center" wrapText="1"/>
    </xf>
    <xf numFmtId="0" fontId="28" fillId="0" borderId="17" xfId="0" applyFont="1" applyBorder="1" applyAlignment="1">
      <alignment vertical="center" wrapText="1"/>
    </xf>
    <xf numFmtId="0" fontId="5" fillId="26" borderId="14" xfId="0" applyFont="1" applyFill="1" applyBorder="1" applyAlignment="1">
      <alignment vertical="center" wrapText="1"/>
    </xf>
    <xf numFmtId="0" fontId="5" fillId="24" borderId="14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12" fillId="14" borderId="0" xfId="0" applyFont="1" applyFill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8" fillId="28" borderId="13" xfId="0" applyFont="1" applyFill="1" applyBorder="1" applyAlignment="1">
      <alignment vertical="center" wrapText="1"/>
    </xf>
    <xf numFmtId="0" fontId="28" fillId="29" borderId="13" xfId="0" applyFont="1" applyFill="1" applyBorder="1" applyAlignment="1">
      <alignment vertical="center" wrapText="1"/>
    </xf>
    <xf numFmtId="0" fontId="28" fillId="25" borderId="14" xfId="0" applyFont="1" applyFill="1" applyBorder="1" applyAlignment="1">
      <alignment horizontal="center" vertical="center" wrapText="1"/>
    </xf>
    <xf numFmtId="0" fontId="4" fillId="25" borderId="13" xfId="0" applyFont="1" applyFill="1" applyBorder="1" applyAlignment="1">
      <alignment wrapText="1"/>
    </xf>
    <xf numFmtId="0" fontId="28" fillId="30" borderId="13" xfId="0" applyFont="1" applyFill="1" applyBorder="1" applyAlignment="1">
      <alignment vertical="center" wrapText="1"/>
    </xf>
    <xf numFmtId="0" fontId="28" fillId="31" borderId="13" xfId="0" applyFont="1" applyFill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31" fillId="0" borderId="19" xfId="0" applyFont="1" applyBorder="1" applyAlignment="1">
      <alignment horizontal="center" vertical="center" wrapText="1"/>
    </xf>
    <xf numFmtId="9" fontId="28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31" fillId="0" borderId="16" xfId="0" applyFont="1" applyBorder="1" applyAlignment="1">
      <alignment horizontal="center" vertical="center" wrapText="1"/>
    </xf>
    <xf numFmtId="9" fontId="28" fillId="0" borderId="16" xfId="0" applyNumberFormat="1" applyFont="1" applyBorder="1" applyAlignment="1">
      <alignment horizontal="center" vertical="center" wrapText="1"/>
    </xf>
    <xf numFmtId="14" fontId="31" fillId="0" borderId="13" xfId="0" applyNumberFormat="1" applyFont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left" vertical="center" wrapText="1"/>
    </xf>
    <xf numFmtId="0" fontId="39" fillId="7" borderId="3" xfId="0" applyFont="1" applyFill="1" applyBorder="1" applyAlignment="1">
      <alignment horizontal="left" vertical="center" wrapText="1"/>
    </xf>
    <xf numFmtId="0" fontId="39" fillId="7" borderId="1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43" fillId="0" borderId="0" xfId="0" applyFont="1" applyAlignment="1">
      <alignment horizontal="center" vertical="center"/>
    </xf>
    <xf numFmtId="0" fontId="43" fillId="0" borderId="0" xfId="0" applyFont="1"/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20" xfId="0" applyFont="1" applyBorder="1" applyAlignment="1">
      <alignment horizontal="center" vertical="center"/>
    </xf>
    <xf numFmtId="0" fontId="44" fillId="32" borderId="1" xfId="0" applyFont="1" applyFill="1" applyBorder="1" applyAlignment="1">
      <alignment horizontal="center" vertical="center" wrapText="1"/>
    </xf>
    <xf numFmtId="0" fontId="44" fillId="32" borderId="1" xfId="0" applyFont="1" applyFill="1" applyBorder="1" applyAlignment="1">
      <alignment horizontal="center" vertical="center"/>
    </xf>
    <xf numFmtId="4" fontId="43" fillId="33" borderId="1" xfId="1" applyNumberFormat="1" applyFont="1" applyFill="1" applyBorder="1" applyAlignment="1">
      <alignment horizontal="center" vertical="center" wrapText="1"/>
    </xf>
    <xf numFmtId="0" fontId="45" fillId="33" borderId="1" xfId="1" applyFont="1" applyFill="1" applyBorder="1" applyAlignment="1">
      <alignment horizontal="center" vertical="center" wrapText="1"/>
    </xf>
    <xf numFmtId="0" fontId="43" fillId="33" borderId="2" xfId="1" applyFont="1" applyFill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/>
    </xf>
    <xf numFmtId="16" fontId="43" fillId="0" borderId="25" xfId="0" applyNumberFormat="1" applyFont="1" applyBorder="1" applyAlignment="1">
      <alignment horizontal="center" vertical="center" wrapText="1"/>
    </xf>
    <xf numFmtId="16" fontId="43" fillId="0" borderId="1" xfId="0" applyNumberFormat="1" applyFont="1" applyBorder="1" applyAlignment="1">
      <alignment horizontal="center" vertical="center" wrapText="1"/>
    </xf>
    <xf numFmtId="16" fontId="43" fillId="0" borderId="26" xfId="0" applyNumberFormat="1" applyFont="1" applyBorder="1" applyAlignment="1">
      <alignment horizontal="center" vertical="center" wrapText="1"/>
    </xf>
    <xf numFmtId="0" fontId="46" fillId="34" borderId="1" xfId="0" applyFont="1" applyFill="1" applyBorder="1" applyAlignment="1">
      <alignment horizontal="center" vertical="center"/>
    </xf>
    <xf numFmtId="0" fontId="46" fillId="34" borderId="1" xfId="0" applyFont="1" applyFill="1" applyBorder="1" applyAlignment="1">
      <alignment horizontal="center"/>
    </xf>
    <xf numFmtId="0" fontId="46" fillId="34" borderId="1" xfId="0" applyFont="1" applyFill="1" applyBorder="1" applyAlignment="1">
      <alignment horizontal="center" vertical="center" wrapText="1"/>
    </xf>
    <xf numFmtId="0" fontId="46" fillId="34" borderId="2" xfId="0" applyFont="1" applyFill="1" applyBorder="1" applyAlignment="1">
      <alignment horizontal="center" vertical="center" wrapText="1"/>
    </xf>
    <xf numFmtId="0" fontId="47" fillId="0" borderId="24" xfId="0" applyFont="1" applyBorder="1"/>
    <xf numFmtId="0" fontId="47" fillId="0" borderId="25" xfId="0" applyFont="1" applyBorder="1"/>
    <xf numFmtId="0" fontId="47" fillId="0" borderId="1" xfId="0" applyFont="1" applyBorder="1"/>
    <xf numFmtId="0" fontId="47" fillId="0" borderId="26" xfId="0" applyFont="1" applyBorder="1"/>
    <xf numFmtId="0" fontId="47" fillId="0" borderId="0" xfId="0" applyFont="1"/>
    <xf numFmtId="0" fontId="48" fillId="34" borderId="1" xfId="0" applyFont="1" applyFill="1" applyBorder="1" applyAlignment="1">
      <alignment horizontal="center" vertical="center"/>
    </xf>
    <xf numFmtId="4" fontId="49" fillId="5" borderId="1" xfId="0" applyNumberFormat="1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wrapText="1"/>
    </xf>
    <xf numFmtId="4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4" fontId="43" fillId="0" borderId="1" xfId="0" applyNumberFormat="1" applyFont="1" applyBorder="1" applyAlignment="1">
      <alignment horizontal="center" vertical="center" wrapText="1"/>
    </xf>
    <xf numFmtId="14" fontId="43" fillId="0" borderId="1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24" xfId="0" applyFont="1" applyBorder="1"/>
    <xf numFmtId="0" fontId="43" fillId="0" borderId="25" xfId="0" applyFont="1" applyBorder="1"/>
    <xf numFmtId="0" fontId="43" fillId="16" borderId="1" xfId="0" applyFont="1" applyFill="1" applyBorder="1"/>
    <xf numFmtId="0" fontId="43" fillId="16" borderId="26" xfId="0" applyFont="1" applyFill="1" applyBorder="1"/>
    <xf numFmtId="0" fontId="43" fillId="0" borderId="1" xfId="0" applyFont="1" applyBorder="1"/>
    <xf numFmtId="0" fontId="43" fillId="0" borderId="26" xfId="0" applyFont="1" applyBorder="1"/>
    <xf numFmtId="0" fontId="44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/>
    </xf>
    <xf numFmtId="0" fontId="43" fillId="16" borderId="25" xfId="0" applyFont="1" applyFill="1" applyBorder="1"/>
    <xf numFmtId="0" fontId="44" fillId="35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/>
    </xf>
    <xf numFmtId="4" fontId="50" fillId="5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3" fillId="16" borderId="24" xfId="0" applyFont="1" applyFill="1" applyBorder="1"/>
    <xf numFmtId="0" fontId="44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43" fillId="0" borderId="2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/>
    </xf>
    <xf numFmtId="14" fontId="43" fillId="0" borderId="2" xfId="0" applyNumberFormat="1" applyFont="1" applyBorder="1" applyAlignment="1">
      <alignment vertical="center"/>
    </xf>
    <xf numFmtId="1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vertical="center"/>
    </xf>
    <xf numFmtId="0" fontId="50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/>
    </xf>
    <xf numFmtId="14" fontId="43" fillId="0" borderId="2" xfId="0" applyNumberFormat="1" applyFont="1" applyBorder="1" applyAlignment="1">
      <alignment horizontal="left" vertical="center"/>
    </xf>
    <xf numFmtId="4" fontId="50" fillId="0" borderId="1" xfId="0" applyNumberFormat="1" applyFont="1" applyBorder="1" applyAlignment="1">
      <alignment vertical="center"/>
    </xf>
    <xf numFmtId="4" fontId="43" fillId="0" borderId="1" xfId="0" applyNumberFormat="1" applyFont="1" applyBorder="1" applyAlignment="1">
      <alignment vertical="center"/>
    </xf>
    <xf numFmtId="0" fontId="50" fillId="0" borderId="29" xfId="0" applyFont="1" applyBorder="1" applyAlignment="1">
      <alignment horizontal="center" vertical="center" wrapText="1"/>
    </xf>
    <xf numFmtId="0" fontId="43" fillId="16" borderId="2" xfId="0" applyFont="1" applyFill="1" applyBorder="1"/>
    <xf numFmtId="0" fontId="48" fillId="0" borderId="29" xfId="0" applyFont="1" applyBorder="1" applyAlignment="1">
      <alignment horizontal="center" wrapText="1"/>
    </xf>
    <xf numFmtId="0" fontId="48" fillId="0" borderId="29" xfId="0" applyFont="1" applyBorder="1" applyAlignment="1">
      <alignment horizontal="center"/>
    </xf>
    <xf numFmtId="0" fontId="43" fillId="0" borderId="1" xfId="0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0" fontId="44" fillId="36" borderId="1" xfId="0" applyFont="1" applyFill="1" applyBorder="1" applyAlignment="1">
      <alignment horizontal="center" vertical="center" wrapText="1"/>
    </xf>
    <xf numFmtId="0" fontId="44" fillId="36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43" fillId="2" borderId="1" xfId="0" applyFont="1" applyFill="1" applyBorder="1"/>
    <xf numFmtId="0" fontId="48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left" vertical="center"/>
    </xf>
    <xf numFmtId="0" fontId="44" fillId="2" borderId="1" xfId="0" applyFont="1" applyFill="1" applyBorder="1" applyAlignment="1">
      <alignment vertical="center"/>
    </xf>
    <xf numFmtId="0" fontId="43" fillId="2" borderId="24" xfId="0" applyFont="1" applyFill="1" applyBorder="1"/>
    <xf numFmtId="0" fontId="43" fillId="2" borderId="25" xfId="0" applyFont="1" applyFill="1" applyBorder="1"/>
    <xf numFmtId="0" fontId="43" fillId="2" borderId="1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 wrapText="1"/>
    </xf>
    <xf numFmtId="0" fontId="50" fillId="2" borderId="29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/>
    </xf>
    <xf numFmtId="0" fontId="43" fillId="0" borderId="2" xfId="0" applyFont="1" applyBorder="1"/>
    <xf numFmtId="4" fontId="43" fillId="2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3" fillId="2" borderId="0" xfId="0" applyFont="1" applyFill="1"/>
    <xf numFmtId="0" fontId="7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2" fontId="7" fillId="17" borderId="1" xfId="0" applyNumberFormat="1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32" fillId="27" borderId="1" xfId="0" applyFont="1" applyFill="1" applyBorder="1" applyAlignment="1">
      <alignment vertical="center" wrapText="1"/>
    </xf>
    <xf numFmtId="0" fontId="7" fillId="17" borderId="1" xfId="0" applyFont="1" applyFill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left" vertical="center" wrapText="1"/>
    </xf>
    <xf numFmtId="0" fontId="7" fillId="38" borderId="1" xfId="0" applyFont="1" applyFill="1" applyBorder="1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43" fillId="2" borderId="1" xfId="0" applyFont="1" applyFill="1" applyBorder="1" applyAlignment="1">
      <alignment horizontal="left" vertical="center"/>
    </xf>
    <xf numFmtId="0" fontId="48" fillId="2" borderId="1" xfId="0" applyFont="1" applyFill="1" applyBorder="1" applyAlignment="1">
      <alignment horizontal="center"/>
    </xf>
    <xf numFmtId="0" fontId="48" fillId="2" borderId="29" xfId="0" applyFont="1" applyFill="1" applyBorder="1" applyAlignment="1">
      <alignment horizontal="center"/>
    </xf>
    <xf numFmtId="4" fontId="43" fillId="2" borderId="1" xfId="0" applyNumberFormat="1" applyFont="1" applyFill="1" applyBorder="1" applyAlignment="1">
      <alignment vertical="center"/>
    </xf>
    <xf numFmtId="0" fontId="43" fillId="24" borderId="26" xfId="0" applyFont="1" applyFill="1" applyBorder="1"/>
    <xf numFmtId="0" fontId="2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14" borderId="0" xfId="0" applyFont="1" applyFill="1" applyAlignment="1">
      <alignment horizontal="left" vertical="center" wrapText="1"/>
    </xf>
    <xf numFmtId="0" fontId="43" fillId="5" borderId="1" xfId="0" applyFont="1" applyFill="1" applyBorder="1"/>
    <xf numFmtId="0" fontId="43" fillId="39" borderId="1" xfId="0" applyFont="1" applyFill="1" applyBorder="1" applyAlignment="1">
      <alignment horizontal="left" vertical="center"/>
    </xf>
    <xf numFmtId="0" fontId="43" fillId="2" borderId="1" xfId="0" applyFont="1" applyFill="1" applyBorder="1" applyAlignment="1">
      <alignment horizontal="left" vertical="center" wrapText="1"/>
    </xf>
    <xf numFmtId="4" fontId="51" fillId="2" borderId="1" xfId="0" applyNumberFormat="1" applyFont="1" applyFill="1" applyBorder="1" applyAlignment="1">
      <alignment horizontal="center" vertical="center"/>
    </xf>
    <xf numFmtId="0" fontId="43" fillId="24" borderId="1" xfId="0" applyFont="1" applyFill="1" applyBorder="1"/>
    <xf numFmtId="0" fontId="43" fillId="24" borderId="25" xfId="0" applyFont="1" applyFill="1" applyBorder="1"/>
    <xf numFmtId="0" fontId="51" fillId="0" borderId="1" xfId="0" applyFont="1" applyBorder="1" applyAlignment="1">
      <alignment horizontal="left" vertical="center" wrapText="1"/>
    </xf>
    <xf numFmtId="0" fontId="43" fillId="2" borderId="26" xfId="0" applyFont="1" applyFill="1" applyBorder="1"/>
    <xf numFmtId="0" fontId="44" fillId="2" borderId="1" xfId="0" applyFont="1" applyFill="1" applyBorder="1" applyAlignment="1">
      <alignment vertical="top" wrapText="1"/>
    </xf>
    <xf numFmtId="0" fontId="43" fillId="0" borderId="1" xfId="0" applyFont="1" applyBorder="1" applyAlignment="1">
      <alignment wrapText="1"/>
    </xf>
    <xf numFmtId="0" fontId="43" fillId="37" borderId="1" xfId="0" applyFont="1" applyFill="1" applyBorder="1" applyAlignment="1">
      <alignment horizontal="center" vertical="center" wrapText="1"/>
    </xf>
    <xf numFmtId="0" fontId="43" fillId="37" borderId="1" xfId="0" applyFont="1" applyFill="1" applyBorder="1" applyAlignment="1">
      <alignment wrapText="1"/>
    </xf>
    <xf numFmtId="16" fontId="43" fillId="0" borderId="2" xfId="0" applyNumberFormat="1" applyFont="1" applyBorder="1" applyAlignment="1">
      <alignment horizontal="center" vertical="center" wrapText="1"/>
    </xf>
    <xf numFmtId="0" fontId="47" fillId="0" borderId="2" xfId="0" applyFont="1" applyBorder="1"/>
    <xf numFmtId="0" fontId="50" fillId="17" borderId="29" xfId="0" applyFont="1" applyFill="1" applyBorder="1" applyAlignment="1">
      <alignment horizontal="center" vertical="center" wrapText="1"/>
    </xf>
    <xf numFmtId="0" fontId="43" fillId="5" borderId="0" xfId="0" applyFont="1" applyFill="1"/>
    <xf numFmtId="0" fontId="43" fillId="39" borderId="1" xfId="0" applyFont="1" applyFill="1" applyBorder="1" applyAlignment="1">
      <alignment horizontal="left" vertical="center" wrapText="1"/>
    </xf>
    <xf numFmtId="0" fontId="43" fillId="0" borderId="30" xfId="0" applyFont="1" applyBorder="1"/>
    <xf numFmtId="0" fontId="43" fillId="0" borderId="31" xfId="0" applyFont="1" applyBorder="1"/>
    <xf numFmtId="0" fontId="43" fillId="0" borderId="27" xfId="0" applyFont="1" applyBorder="1"/>
    <xf numFmtId="0" fontId="7" fillId="5" borderId="5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2" fontId="7" fillId="5" borderId="0" xfId="0" applyNumberFormat="1" applyFont="1" applyFill="1" applyAlignment="1">
      <alignment horizontal="left" vertical="center" wrapText="1"/>
    </xf>
    <xf numFmtId="0" fontId="7" fillId="38" borderId="0" xfId="0" applyFont="1" applyFill="1" applyAlignment="1">
      <alignment vertical="center" wrapText="1"/>
    </xf>
    <xf numFmtId="0" fontId="43" fillId="2" borderId="1" xfId="0" applyFont="1" applyFill="1" applyBorder="1" applyAlignment="1">
      <alignment vertical="center" wrapText="1"/>
    </xf>
    <xf numFmtId="0" fontId="20" fillId="16" borderId="1" xfId="0" applyFont="1" applyFill="1" applyBorder="1" applyAlignment="1">
      <alignment horizontal="center" vertical="center" wrapText="1"/>
    </xf>
    <xf numFmtId="164" fontId="55" fillId="13" borderId="1" xfId="0" applyNumberFormat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wrapText="1"/>
    </xf>
    <xf numFmtId="164" fontId="55" fillId="15" borderId="1" xfId="0" applyNumberFormat="1" applyFont="1" applyFill="1" applyBorder="1" applyAlignment="1">
      <alignment horizontal="center" wrapText="1"/>
    </xf>
    <xf numFmtId="164" fontId="56" fillId="13" borderId="1" xfId="0" applyNumberFormat="1" applyFont="1" applyFill="1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14" fontId="43" fillId="0" borderId="1" xfId="0" applyNumberFormat="1" applyFont="1" applyBorder="1" applyAlignment="1">
      <alignment wrapText="1"/>
    </xf>
    <xf numFmtId="0" fontId="43" fillId="5" borderId="0" xfId="0" applyFont="1" applyFill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43" fillId="38" borderId="1" xfId="0" applyFont="1" applyFill="1" applyBorder="1"/>
    <xf numFmtId="0" fontId="7" fillId="16" borderId="1" xfId="0" applyFont="1" applyFill="1" applyBorder="1" applyAlignment="1">
      <alignment vertical="center" wrapText="1"/>
    </xf>
    <xf numFmtId="2" fontId="25" fillId="17" borderId="1" xfId="0" applyNumberFormat="1" applyFont="1" applyFill="1" applyBorder="1" applyAlignment="1">
      <alignment horizontal="left" vertical="center" wrapText="1"/>
    </xf>
    <xf numFmtId="0" fontId="43" fillId="5" borderId="1" xfId="0" applyFont="1" applyFill="1" applyBorder="1" applyAlignment="1">
      <alignment wrapText="1"/>
    </xf>
    <xf numFmtId="0" fontId="43" fillId="5" borderId="2" xfId="0" applyFont="1" applyFill="1" applyBorder="1"/>
    <xf numFmtId="0" fontId="43" fillId="0" borderId="3" xfId="0" applyFont="1" applyBorder="1"/>
    <xf numFmtId="0" fontId="43" fillId="16" borderId="3" xfId="0" applyFont="1" applyFill="1" applyBorder="1"/>
    <xf numFmtId="0" fontId="43" fillId="0" borderId="21" xfId="0" applyFont="1" applyBorder="1"/>
    <xf numFmtId="0" fontId="43" fillId="0" borderId="22" xfId="0" applyFont="1" applyBorder="1"/>
    <xf numFmtId="0" fontId="43" fillId="0" borderId="23" xfId="0" applyFont="1" applyBorder="1"/>
    <xf numFmtId="16" fontId="44" fillId="0" borderId="1" xfId="0" quotePrefix="1" applyNumberFormat="1" applyFont="1" applyBorder="1" applyAlignment="1">
      <alignment horizontal="center" vertical="center"/>
    </xf>
    <xf numFmtId="0" fontId="43" fillId="2" borderId="2" xfId="0" applyFont="1" applyFill="1" applyBorder="1"/>
    <xf numFmtId="0" fontId="43" fillId="24" borderId="2" xfId="0" applyFont="1" applyFill="1" applyBorder="1"/>
    <xf numFmtId="0" fontId="51" fillId="24" borderId="2" xfId="0" applyFont="1" applyFill="1" applyBorder="1"/>
    <xf numFmtId="0" fontId="43" fillId="0" borderId="33" xfId="0" applyFont="1" applyBorder="1"/>
    <xf numFmtId="16" fontId="43" fillId="0" borderId="3" xfId="0" applyNumberFormat="1" applyFont="1" applyBorder="1" applyAlignment="1">
      <alignment horizontal="center" vertical="center" wrapText="1"/>
    </xf>
    <xf numFmtId="0" fontId="47" fillId="0" borderId="3" xfId="0" applyFont="1" applyBorder="1"/>
    <xf numFmtId="0" fontId="43" fillId="2" borderId="3" xfId="0" applyFont="1" applyFill="1" applyBorder="1"/>
    <xf numFmtId="0" fontId="43" fillId="24" borderId="3" xfId="0" applyFont="1" applyFill="1" applyBorder="1"/>
    <xf numFmtId="0" fontId="43" fillId="16" borderId="37" xfId="0" applyFont="1" applyFill="1" applyBorder="1"/>
    <xf numFmtId="0" fontId="43" fillId="24" borderId="38" xfId="0" applyFont="1" applyFill="1" applyBorder="1"/>
    <xf numFmtId="0" fontId="43" fillId="2" borderId="1" xfId="0" applyFont="1" applyFill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43" fillId="16" borderId="22" xfId="0" applyFont="1" applyFill="1" applyBorder="1"/>
    <xf numFmtId="0" fontId="43" fillId="16" borderId="23" xfId="0" applyFont="1" applyFill="1" applyBorder="1"/>
    <xf numFmtId="0" fontId="20" fillId="5" borderId="1" xfId="0" applyFont="1" applyFill="1" applyBorder="1" applyAlignment="1">
      <alignment horizontal="center" vertical="center" wrapText="1"/>
    </xf>
    <xf numFmtId="0" fontId="58" fillId="35" borderId="1" xfId="0" applyFont="1" applyFill="1" applyBorder="1" applyAlignment="1">
      <alignment horizontal="center" vertical="center" wrapText="1"/>
    </xf>
    <xf numFmtId="0" fontId="43" fillId="13" borderId="1" xfId="0" applyFont="1" applyFill="1" applyBorder="1"/>
    <xf numFmtId="0" fontId="43" fillId="13" borderId="2" xfId="0" applyFont="1" applyFill="1" applyBorder="1"/>
    <xf numFmtId="0" fontId="43" fillId="13" borderId="3" xfId="0" applyFont="1" applyFill="1" applyBorder="1"/>
    <xf numFmtId="0" fontId="43" fillId="0" borderId="36" xfId="0" applyFont="1" applyBorder="1"/>
    <xf numFmtId="0" fontId="43" fillId="13" borderId="26" xfId="0" applyFont="1" applyFill="1" applyBorder="1"/>
    <xf numFmtId="0" fontId="48" fillId="36" borderId="1" xfId="0" applyFont="1" applyFill="1" applyBorder="1" applyAlignment="1">
      <alignment horizontal="center" vertical="center"/>
    </xf>
    <xf numFmtId="0" fontId="43" fillId="4" borderId="1" xfId="0" applyFont="1" applyFill="1" applyBorder="1"/>
    <xf numFmtId="0" fontId="43" fillId="4" borderId="26" xfId="0" applyFont="1" applyFill="1" applyBorder="1"/>
    <xf numFmtId="0" fontId="43" fillId="0" borderId="0" xfId="0" applyFont="1" applyAlignment="1">
      <alignment horizontal="left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59" fillId="0" borderId="27" xfId="0" applyFont="1" applyBorder="1" applyAlignment="1">
      <alignment horizontal="center" vertical="center"/>
    </xf>
    <xf numFmtId="0" fontId="59" fillId="0" borderId="27" xfId="0" applyFont="1" applyBorder="1" applyAlignment="1">
      <alignment horizontal="center" vertical="center" wrapText="1"/>
    </xf>
    <xf numFmtId="14" fontId="59" fillId="0" borderId="1" xfId="0" applyNumberFormat="1" applyFont="1" applyBorder="1" applyAlignment="1">
      <alignment horizontal="center" vertical="center" wrapText="1"/>
    </xf>
    <xf numFmtId="0" fontId="59" fillId="0" borderId="41" xfId="0" applyFont="1" applyBorder="1" applyAlignment="1">
      <alignment horizontal="center" vertical="center" wrapText="1"/>
    </xf>
    <xf numFmtId="0" fontId="59" fillId="0" borderId="42" xfId="0" applyFont="1" applyBorder="1" applyAlignment="1">
      <alignment horizontal="center" vertical="center" wrapText="1"/>
    </xf>
    <xf numFmtId="0" fontId="59" fillId="5" borderId="1" xfId="0" applyFont="1" applyFill="1" applyBorder="1" applyAlignment="1">
      <alignment horizontal="center" vertical="center" wrapText="1"/>
    </xf>
    <xf numFmtId="49" fontId="59" fillId="5" borderId="1" xfId="0" applyNumberFormat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14" fontId="59" fillId="0" borderId="27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wrapText="1"/>
    </xf>
    <xf numFmtId="0" fontId="60" fillId="0" borderId="44" xfId="0" applyFont="1" applyBorder="1" applyAlignment="1">
      <alignment horizontal="center" wrapText="1"/>
    </xf>
    <xf numFmtId="0" fontId="60" fillId="0" borderId="45" xfId="0" applyFont="1" applyBorder="1" applyAlignment="1">
      <alignment horizontal="center" wrapText="1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4" fontId="43" fillId="0" borderId="1" xfId="0" applyNumberFormat="1" applyFont="1" applyFill="1" applyBorder="1" applyAlignment="1">
      <alignment vertical="center"/>
    </xf>
    <xf numFmtId="0" fontId="44" fillId="0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wrapText="1"/>
    </xf>
    <xf numFmtId="0" fontId="44" fillId="0" borderId="1" xfId="0" applyFont="1" applyFill="1" applyBorder="1" applyAlignment="1">
      <alignment horizontal="center" vertical="center" wrapText="1"/>
    </xf>
    <xf numFmtId="0" fontId="43" fillId="0" borderId="25" xfId="0" applyFont="1" applyFill="1" applyBorder="1"/>
    <xf numFmtId="0" fontId="43" fillId="0" borderId="1" xfId="0" applyFont="1" applyFill="1" applyBorder="1"/>
    <xf numFmtId="0" fontId="43" fillId="0" borderId="26" xfId="0" applyFont="1" applyFill="1" applyBorder="1"/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3" fillId="0" borderId="3" xfId="0" applyFont="1" applyFill="1" applyBorder="1"/>
    <xf numFmtId="0" fontId="43" fillId="0" borderId="2" xfId="0" applyFont="1" applyFill="1" applyBorder="1"/>
    <xf numFmtId="0" fontId="43" fillId="0" borderId="1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3" fillId="16" borderId="1" xfId="0" applyFont="1" applyFill="1" applyBorder="1" applyAlignment="1">
      <alignment horizontal="center"/>
    </xf>
    <xf numFmtId="0" fontId="43" fillId="16" borderId="2" xfId="0" applyFont="1" applyFill="1" applyBorder="1" applyAlignment="1">
      <alignment horizontal="center" vertical="center"/>
    </xf>
    <xf numFmtId="0" fontId="43" fillId="37" borderId="1" xfId="0" applyFont="1" applyFill="1" applyBorder="1" applyAlignment="1">
      <alignment horizontal="center" vertical="center"/>
    </xf>
    <xf numFmtId="0" fontId="44" fillId="40" borderId="1" xfId="0" applyFont="1" applyFill="1" applyBorder="1" applyAlignment="1">
      <alignment horizontal="center" vertical="center" wrapText="1"/>
    </xf>
    <xf numFmtId="0" fontId="44" fillId="40" borderId="1" xfId="0" applyFont="1" applyFill="1" applyBorder="1" applyAlignment="1">
      <alignment horizontal="center" vertical="center"/>
    </xf>
    <xf numFmtId="4" fontId="50" fillId="37" borderId="1" xfId="0" applyNumberFormat="1" applyFont="1" applyFill="1" applyBorder="1" applyAlignment="1">
      <alignment horizontal="center" vertical="center"/>
    </xf>
    <xf numFmtId="0" fontId="43" fillId="37" borderId="1" xfId="0" applyFont="1" applyFill="1" applyBorder="1"/>
    <xf numFmtId="0" fontId="43" fillId="37" borderId="2" xfId="0" applyFont="1" applyFill="1" applyBorder="1" applyAlignment="1">
      <alignment horizontal="center" vertical="center"/>
    </xf>
    <xf numFmtId="0" fontId="43" fillId="37" borderId="24" xfId="0" applyFont="1" applyFill="1" applyBorder="1"/>
    <xf numFmtId="0" fontId="43" fillId="37" borderId="25" xfId="0" applyFont="1" applyFill="1" applyBorder="1"/>
    <xf numFmtId="0" fontId="43" fillId="37" borderId="2" xfId="0" applyFont="1" applyFill="1" applyBorder="1"/>
    <xf numFmtId="0" fontId="43" fillId="37" borderId="26" xfId="0" applyFont="1" applyFill="1" applyBorder="1"/>
    <xf numFmtId="0" fontId="43" fillId="37" borderId="3" xfId="0" applyFont="1" applyFill="1" applyBorder="1"/>
    <xf numFmtId="0" fontId="43" fillId="37" borderId="1" xfId="0" applyFont="1" applyFill="1" applyBorder="1" applyAlignment="1">
      <alignment horizontal="center"/>
    </xf>
    <xf numFmtId="4" fontId="43" fillId="37" borderId="1" xfId="0" applyNumberFormat="1" applyFont="1" applyFill="1" applyBorder="1"/>
    <xf numFmtId="0" fontId="48" fillId="40" borderId="1" xfId="0" applyFont="1" applyFill="1" applyBorder="1" applyAlignment="1">
      <alignment horizontal="center" vertical="center"/>
    </xf>
    <xf numFmtId="0" fontId="51" fillId="37" borderId="2" xfId="0" applyFont="1" applyFill="1" applyBorder="1" applyAlignment="1">
      <alignment horizontal="left" vertical="top" wrapText="1"/>
    </xf>
    <xf numFmtId="4" fontId="43" fillId="37" borderId="1" xfId="0" applyNumberFormat="1" applyFont="1" applyFill="1" applyBorder="1" applyAlignment="1">
      <alignment vertical="center"/>
    </xf>
    <xf numFmtId="0" fontId="51" fillId="37" borderId="2" xfId="0" applyFont="1" applyFill="1" applyBorder="1" applyAlignment="1">
      <alignment vertical="top" wrapText="1"/>
    </xf>
    <xf numFmtId="0" fontId="44" fillId="37" borderId="1" xfId="0" applyFont="1" applyFill="1" applyBorder="1" applyAlignment="1">
      <alignment horizontal="center" vertical="center"/>
    </xf>
    <xf numFmtId="4" fontId="49" fillId="37" borderId="1" xfId="0" applyNumberFormat="1" applyFont="1" applyFill="1" applyBorder="1" applyAlignment="1">
      <alignment horizontal="center" vertical="center"/>
    </xf>
    <xf numFmtId="0" fontId="48" fillId="40" borderId="1" xfId="0" applyFont="1" applyFill="1" applyBorder="1" applyAlignment="1">
      <alignment horizontal="center" vertical="center" wrapText="1"/>
    </xf>
    <xf numFmtId="0" fontId="50" fillId="37" borderId="1" xfId="0" applyFont="1" applyFill="1" applyBorder="1" applyAlignment="1">
      <alignment horizontal="center" vertical="center" wrapText="1"/>
    </xf>
    <xf numFmtId="0" fontId="50" fillId="37" borderId="1" xfId="0" applyFont="1" applyFill="1" applyBorder="1" applyAlignment="1">
      <alignment horizontal="center" vertical="center"/>
    </xf>
    <xf numFmtId="0" fontId="48" fillId="37" borderId="1" xfId="0" applyFont="1" applyFill="1" applyBorder="1" applyAlignment="1">
      <alignment horizontal="center" vertical="center" wrapText="1"/>
    </xf>
    <xf numFmtId="0" fontId="48" fillId="37" borderId="1" xfId="0" applyFont="1" applyFill="1" applyBorder="1" applyAlignment="1">
      <alignment horizontal="center" vertical="center"/>
    </xf>
    <xf numFmtId="14" fontId="43" fillId="37" borderId="1" xfId="0" applyNumberFormat="1" applyFont="1" applyFill="1" applyBorder="1" applyAlignment="1">
      <alignment horizontal="center" vertical="center" wrapText="1"/>
    </xf>
    <xf numFmtId="0" fontId="43" fillId="37" borderId="27" xfId="0" applyFont="1" applyFill="1" applyBorder="1"/>
    <xf numFmtId="0" fontId="43" fillId="37" borderId="34" xfId="0" applyFont="1" applyFill="1" applyBorder="1"/>
    <xf numFmtId="0" fontId="43" fillId="37" borderId="32" xfId="0" applyFont="1" applyFill="1" applyBorder="1"/>
    <xf numFmtId="0" fontId="43" fillId="37" borderId="31" xfId="0" applyFont="1" applyFill="1" applyBorder="1"/>
    <xf numFmtId="4" fontId="4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5" borderId="0" xfId="0" applyFont="1" applyFill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8" fillId="30" borderId="8" xfId="0" applyFont="1" applyFill="1" applyBorder="1" applyAlignment="1">
      <alignment vertical="center" wrapText="1"/>
    </xf>
    <xf numFmtId="0" fontId="28" fillId="30" borderId="16" xfId="0" applyFont="1" applyFill="1" applyBorder="1" applyAlignment="1">
      <alignment vertical="center" wrapText="1"/>
    </xf>
    <xf numFmtId="0" fontId="28" fillId="30" borderId="9" xfId="0" applyFont="1" applyFill="1" applyBorder="1" applyAlignment="1">
      <alignment vertical="center" wrapText="1"/>
    </xf>
    <xf numFmtId="0" fontId="28" fillId="0" borderId="8" xfId="0" applyFont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28" fillId="20" borderId="8" xfId="0" applyFont="1" applyFill="1" applyBorder="1" applyAlignment="1">
      <alignment horizontal="center" vertical="center" wrapText="1"/>
    </xf>
    <xf numFmtId="0" fontId="28" fillId="20" borderId="9" xfId="0" applyFont="1" applyFill="1" applyBorder="1" applyAlignment="1">
      <alignment horizontal="center" vertical="center" wrapText="1"/>
    </xf>
    <xf numFmtId="0" fontId="28" fillId="20" borderId="15" xfId="0" applyFont="1" applyFill="1" applyBorder="1" applyAlignment="1">
      <alignment horizontal="center" vertical="center" wrapText="1"/>
    </xf>
    <xf numFmtId="0" fontId="28" fillId="20" borderId="11" xfId="0" applyFont="1" applyFill="1" applyBorder="1" applyAlignment="1">
      <alignment horizontal="center" vertical="center" wrapText="1"/>
    </xf>
    <xf numFmtId="0" fontId="28" fillId="20" borderId="12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9" fontId="28" fillId="0" borderId="8" xfId="0" applyNumberFormat="1" applyFont="1" applyBorder="1" applyAlignment="1">
      <alignment horizontal="center" vertical="center" wrapText="1"/>
    </xf>
    <xf numFmtId="9" fontId="28" fillId="0" borderId="16" xfId="0" applyNumberFormat="1" applyFont="1" applyBorder="1" applyAlignment="1">
      <alignment horizontal="center" vertical="center" wrapText="1"/>
    </xf>
    <xf numFmtId="9" fontId="28" fillId="0" borderId="9" xfId="0" applyNumberFormat="1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14" fontId="31" fillId="0" borderId="8" xfId="0" applyNumberFormat="1" applyFont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3" fillId="0" borderId="7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/>
    </xf>
    <xf numFmtId="4" fontId="43" fillId="0" borderId="1" xfId="0" applyNumberFormat="1" applyFont="1" applyBorder="1" applyAlignment="1">
      <alignment horizontal="center" vertical="center"/>
    </xf>
    <xf numFmtId="4" fontId="43" fillId="0" borderId="27" xfId="0" applyNumberFormat="1" applyFont="1" applyBorder="1" applyAlignment="1">
      <alignment horizontal="center" vertical="center"/>
    </xf>
    <xf numFmtId="4" fontId="43" fillId="0" borderId="28" xfId="0" applyNumberFormat="1" applyFont="1" applyBorder="1" applyAlignment="1">
      <alignment horizontal="center" vertical="center"/>
    </xf>
    <xf numFmtId="4" fontId="43" fillId="0" borderId="4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4" fontId="43" fillId="2" borderId="1" xfId="0" applyNumberFormat="1" applyFont="1" applyFill="1" applyBorder="1" applyAlignment="1">
      <alignment horizontal="center" vertical="center"/>
    </xf>
    <xf numFmtId="0" fontId="50" fillId="0" borderId="27" xfId="0" applyFont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4" fontId="43" fillId="5" borderId="1" xfId="0" applyNumberFormat="1" applyFont="1" applyFill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4" fontId="50" fillId="5" borderId="27" xfId="0" applyNumberFormat="1" applyFont="1" applyFill="1" applyBorder="1" applyAlignment="1">
      <alignment horizontal="center" vertical="center"/>
    </xf>
    <xf numFmtId="4" fontId="50" fillId="5" borderId="4" xfId="0" applyNumberFormat="1" applyFont="1" applyFill="1" applyBorder="1" applyAlignment="1">
      <alignment horizontal="center" vertical="center"/>
    </xf>
    <xf numFmtId="4" fontId="49" fillId="0" borderId="1" xfId="0" applyNumberFormat="1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4" fontId="50" fillId="5" borderId="1" xfId="0" applyNumberFormat="1" applyFont="1" applyFill="1" applyBorder="1" applyAlignment="1">
      <alignment horizontal="center" vertical="center"/>
    </xf>
    <xf numFmtId="0" fontId="49" fillId="6" borderId="39" xfId="0" applyFont="1" applyFill="1" applyBorder="1" applyAlignment="1">
      <alignment horizontal="center" vertical="center" wrapText="1"/>
    </xf>
    <xf numFmtId="0" fontId="49" fillId="6" borderId="36" xfId="0" applyFont="1" applyFill="1" applyBorder="1" applyAlignment="1">
      <alignment horizontal="center" vertical="center" wrapText="1"/>
    </xf>
    <xf numFmtId="0" fontId="49" fillId="6" borderId="0" xfId="0" applyFont="1" applyFill="1" applyAlignment="1">
      <alignment horizontal="center" vertical="center" wrapText="1"/>
    </xf>
    <xf numFmtId="0" fontId="49" fillId="6" borderId="40" xfId="0" applyFont="1" applyFill="1" applyBorder="1" applyAlignment="1">
      <alignment horizontal="center" vertical="center" wrapText="1"/>
    </xf>
    <xf numFmtId="0" fontId="64" fillId="0" borderId="0" xfId="0" applyFont="1"/>
    <xf numFmtId="0" fontId="65" fillId="0" borderId="0" xfId="0" applyFont="1"/>
  </cellXfs>
  <cellStyles count="2">
    <cellStyle name="Обычный" xfId="0" builtinId="0"/>
    <cellStyle name="Обычный 2" xfId="1" xr:uid="{E149E728-BBD2-4096-8B10-3F01F0311858}"/>
  </cellStyles>
  <dxfs count="8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3C1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164942</xdr:colOff>
      <xdr:row>6</xdr:row>
      <xdr:rowOff>720437</xdr:rowOff>
    </xdr:from>
    <xdr:to>
      <xdr:col>12</xdr:col>
      <xdr:colOff>166255</xdr:colOff>
      <xdr:row>306</xdr:row>
      <xdr:rowOff>345707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56FAC4A6-2CD5-4775-BC75-AAF75FF38762}"/>
            </a:ext>
          </a:extLst>
        </xdr:cNvPr>
        <xdr:cNvCxnSpPr/>
      </xdr:nvCxnSpPr>
      <xdr:spPr>
        <a:xfrm flipH="1">
          <a:off x="11193160" y="12441382"/>
          <a:ext cx="791022" cy="113842143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182880</xdr:colOff>
      <xdr:row>26</xdr:row>
      <xdr:rowOff>45720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B89621B-9B8F-477C-A5E0-8A33D0D6E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88480" cy="480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Data\&#1057;&#1044;-2\14_&#1058;&#1055;&#1052;%2035\13.07.2026%20&#1057;&#1090;&#1072;&#1090;&#1091;&#1089;%20&#1048;&#1044;%20&#1058;&#1052;%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Уч.1 опоры"/>
      <sheetName val="Уч.1 Камеры"/>
      <sheetName val="Уч.1 труба"/>
      <sheetName val="Уч.2 Камеры"/>
      <sheetName val="Уч.2 труба"/>
      <sheetName val="Уч.3 опоры"/>
      <sheetName val="Уч.3 камеры"/>
      <sheetName val="Уч.3 труба"/>
      <sheetName val="Уч.4 опоры"/>
      <sheetName val="Уч.4 камеры"/>
      <sheetName val="Уч.4 труба"/>
    </sheetNames>
    <sheetDataSet>
      <sheetData sheetId="0" refreshError="1"/>
      <sheetData sheetId="1">
        <row r="24">
          <cell r="P24">
            <v>26</v>
          </cell>
          <cell r="Q24">
            <v>39</v>
          </cell>
          <cell r="R24">
            <v>124</v>
          </cell>
          <cell r="S24">
            <v>53</v>
          </cell>
        </row>
        <row r="25">
          <cell r="A25">
            <v>242</v>
          </cell>
        </row>
      </sheetData>
      <sheetData sheetId="2">
        <row r="20">
          <cell r="X20">
            <v>4</v>
          </cell>
          <cell r="Y20">
            <v>23</v>
          </cell>
          <cell r="Z20">
            <v>37</v>
          </cell>
          <cell r="AA20">
            <v>9</v>
          </cell>
        </row>
        <row r="21">
          <cell r="A21">
            <v>360</v>
          </cell>
        </row>
      </sheetData>
      <sheetData sheetId="3">
        <row r="9"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21</v>
          </cell>
        </row>
      </sheetData>
      <sheetData sheetId="4">
        <row r="9">
          <cell r="AC9">
            <v>0</v>
          </cell>
          <cell r="AD9">
            <v>22</v>
          </cell>
          <cell r="AE9">
            <v>54</v>
          </cell>
          <cell r="AF9">
            <v>0</v>
          </cell>
        </row>
        <row r="10">
          <cell r="A10">
            <v>168</v>
          </cell>
        </row>
      </sheetData>
      <sheetData sheetId="5">
        <row r="5">
          <cell r="M5">
            <v>2</v>
          </cell>
          <cell r="N5">
            <v>0</v>
          </cell>
          <cell r="O5">
            <v>4</v>
          </cell>
          <cell r="P5">
            <v>0</v>
          </cell>
        </row>
        <row r="6">
          <cell r="A6">
            <v>27</v>
          </cell>
        </row>
      </sheetData>
      <sheetData sheetId="6">
        <row r="10">
          <cell r="M10">
            <v>4</v>
          </cell>
          <cell r="N10">
            <v>48</v>
          </cell>
          <cell r="O10">
            <v>16</v>
          </cell>
          <cell r="P10">
            <v>4</v>
          </cell>
        </row>
        <row r="11">
          <cell r="A11">
            <v>72</v>
          </cell>
        </row>
      </sheetData>
      <sheetData sheetId="7">
        <row r="19">
          <cell r="AC19">
            <v>0</v>
          </cell>
          <cell r="AD19">
            <v>40</v>
          </cell>
          <cell r="AE19">
            <v>149</v>
          </cell>
          <cell r="AF19">
            <v>0</v>
          </cell>
        </row>
        <row r="20">
          <cell r="D20">
            <v>408</v>
          </cell>
        </row>
      </sheetData>
      <sheetData sheetId="8">
        <row r="11">
          <cell r="P11">
            <v>6</v>
          </cell>
          <cell r="Q11">
            <v>6</v>
          </cell>
          <cell r="R11">
            <v>26</v>
          </cell>
          <cell r="S11">
            <v>26</v>
          </cell>
        </row>
        <row r="12">
          <cell r="A12">
            <v>108</v>
          </cell>
        </row>
      </sheetData>
      <sheetData sheetId="9">
        <row r="13">
          <cell r="J13">
            <v>0</v>
          </cell>
          <cell r="K13">
            <v>0</v>
          </cell>
          <cell r="L13">
            <v>66</v>
          </cell>
          <cell r="M13">
            <v>0</v>
          </cell>
        </row>
        <row r="14">
          <cell r="A14">
            <v>66</v>
          </cell>
        </row>
      </sheetData>
      <sheetData sheetId="10">
        <row r="10">
          <cell r="AB10">
            <v>10</v>
          </cell>
          <cell r="AC10">
            <v>27</v>
          </cell>
          <cell r="AD10">
            <v>63</v>
          </cell>
          <cell r="AE10">
            <v>0</v>
          </cell>
        </row>
        <row r="11">
          <cell r="C11">
            <v>192</v>
          </cell>
        </row>
      </sheetData>
      <sheetData sheetId="11">
        <row r="4">
          <cell r="Q4">
            <v>5</v>
          </cell>
          <cell r="R4">
            <v>6</v>
          </cell>
          <cell r="S4">
            <v>15</v>
          </cell>
          <cell r="T4">
            <v>0</v>
          </cell>
        </row>
        <row r="5">
          <cell r="C5">
            <v>26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User" id="{0BD4E219-04F2-46AD-A36F-D0E71EA64CA6}" userId="Us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7" dT="2026-06-15T04:26:52.90" personId="{0BD4E219-04F2-46AD-A36F-D0E71EA64CA6}" id="{B3CED72B-4137-4DB7-93EF-7CE0A9BF0B88}">
    <text>Отпр.на снятие на 25 неделе</text>
  </threadedComment>
  <threadedComment ref="Q77" dT="2026-06-15T04:18:57.70" personId="{0BD4E219-04F2-46AD-A36F-D0E71EA64CA6}" id="{6542AF3F-F1F3-4A49-BBAA-2A13B39B7391}">
    <text>Техреш.- отвод вод+ восстан.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309"/>
  <sheetViews>
    <sheetView topLeftCell="A106" zoomScale="95" zoomScaleNormal="95" workbookViewId="0">
      <selection activeCell="N7" sqref="N7"/>
    </sheetView>
  </sheetViews>
  <sheetFormatPr defaultRowHeight="14.4" outlineLevelCol="1" x14ac:dyDescent="0.3"/>
  <cols>
    <col min="1" max="1" width="27.88671875" style="2" customWidth="1"/>
    <col min="2" max="2" width="6.5546875" style="2" customWidth="1"/>
    <col min="3" max="3" width="15.88671875" style="3" customWidth="1"/>
    <col min="4" max="4" width="23.88671875" style="3" customWidth="1"/>
    <col min="5" max="5" width="17.5546875" style="3" customWidth="1"/>
    <col min="6" max="15" width="11.44140625" style="12" customWidth="1"/>
    <col min="16" max="16" width="15" style="12" customWidth="1"/>
    <col min="17" max="17" width="15.5546875" style="12" customWidth="1"/>
    <col min="18" max="18" width="10.88671875" customWidth="1"/>
    <col min="19" max="19" width="11.5546875" customWidth="1"/>
    <col min="20" max="20" width="78.44140625" style="247" customWidth="1" outlineLevel="1"/>
    <col min="21" max="21" width="68.109375" style="247" customWidth="1" outlineLevel="1"/>
    <col min="22" max="22" width="86.44140625" style="22" customWidth="1"/>
    <col min="23" max="23" width="74.88671875" customWidth="1"/>
  </cols>
  <sheetData>
    <row r="2" spans="1:23" s="15" customFormat="1" ht="409.6" x14ac:dyDescent="0.3">
      <c r="A2" s="14"/>
      <c r="B2" s="14"/>
      <c r="C2" s="73"/>
      <c r="D2" s="16" t="s">
        <v>121</v>
      </c>
      <c r="E2" s="16">
        <f t="shared" ref="E2:M2" si="0">SUM(E20:E126,E128:E164,E166:E262,E264:E305)</f>
        <v>4020.28</v>
      </c>
      <c r="F2" s="16">
        <f t="shared" si="0"/>
        <v>0</v>
      </c>
      <c r="G2" s="16">
        <f t="shared" si="0"/>
        <v>22.53</v>
      </c>
      <c r="H2" s="16">
        <f t="shared" si="0"/>
        <v>1162.02</v>
      </c>
      <c r="I2" s="16">
        <f t="shared" si="0"/>
        <v>523.58000000000004</v>
      </c>
      <c r="J2" s="16">
        <f t="shared" si="0"/>
        <v>450.43</v>
      </c>
      <c r="K2" s="16">
        <f t="shared" si="0"/>
        <v>70.94</v>
      </c>
      <c r="L2" s="16">
        <f t="shared" si="0"/>
        <v>858.44999999999993</v>
      </c>
      <c r="M2" s="16">
        <f t="shared" si="0"/>
        <v>0</v>
      </c>
      <c r="N2" s="16">
        <f>SUM(N20:N126,N128:N164,N166:N262,N264:N305)</f>
        <v>463.52</v>
      </c>
      <c r="O2" s="16">
        <f>SUM(O20:O126,O128:O164,O166:O262,O264:O305)</f>
        <v>440.16000000000042</v>
      </c>
      <c r="P2" s="77" t="s">
        <v>280</v>
      </c>
      <c r="Q2" s="77" t="s">
        <v>279</v>
      </c>
      <c r="R2" s="77" t="s">
        <v>692</v>
      </c>
      <c r="T2" s="66" t="s">
        <v>693</v>
      </c>
      <c r="U2" s="236" t="s">
        <v>694</v>
      </c>
      <c r="V2" s="294" t="s">
        <v>792</v>
      </c>
      <c r="W2" s="238" t="s">
        <v>695</v>
      </c>
    </row>
    <row r="3" spans="1:23" s="15" customFormat="1" ht="122.85" customHeight="1" x14ac:dyDescent="0.3">
      <c r="A3" s="14"/>
      <c r="B3" s="14"/>
      <c r="C3" s="7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7"/>
      <c r="Q3" s="77"/>
      <c r="R3" s="77"/>
      <c r="T3" s="96" t="s">
        <v>696</v>
      </c>
      <c r="U3" s="239" t="s">
        <v>697</v>
      </c>
      <c r="V3" s="238" t="s">
        <v>698</v>
      </c>
      <c r="W3" s="240" t="s">
        <v>699</v>
      </c>
    </row>
    <row r="4" spans="1:23" s="15" customFormat="1" ht="131.69999999999999" customHeight="1" x14ac:dyDescent="0.3">
      <c r="A4" s="14"/>
      <c r="B4" s="14"/>
      <c r="C4" s="73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7"/>
      <c r="Q4" s="77"/>
      <c r="R4" s="77"/>
      <c r="T4" s="96" t="s">
        <v>700</v>
      </c>
      <c r="U4" s="295" t="s">
        <v>793</v>
      </c>
      <c r="V4" s="237" t="s">
        <v>794</v>
      </c>
      <c r="W4" s="241"/>
    </row>
    <row r="5" spans="1:23" s="15" customFormat="1" ht="142.35" customHeight="1" x14ac:dyDescent="0.3">
      <c r="A5" s="14"/>
      <c r="B5" s="14"/>
      <c r="C5" s="7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77">
        <v>141</v>
      </c>
      <c r="Q5" s="77">
        <v>5</v>
      </c>
      <c r="R5" s="94"/>
      <c r="T5" s="72" t="s">
        <v>701</v>
      </c>
      <c r="U5" s="236" t="s">
        <v>702</v>
      </c>
      <c r="V5" s="242" t="s">
        <v>723</v>
      </c>
      <c r="W5" s="241"/>
    </row>
    <row r="6" spans="1:23" s="15" customFormat="1" ht="104.1" customHeight="1" x14ac:dyDescent="0.3">
      <c r="A6" s="14"/>
      <c r="B6" s="14"/>
      <c r="C6" s="73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77" t="s">
        <v>782</v>
      </c>
      <c r="Q6" s="234"/>
      <c r="R6" s="235"/>
      <c r="T6" s="72" t="s">
        <v>791</v>
      </c>
      <c r="U6" s="236"/>
      <c r="V6" s="243" t="s">
        <v>703</v>
      </c>
      <c r="W6" s="243" t="s">
        <v>704</v>
      </c>
    </row>
    <row r="7" spans="1:23" s="15" customFormat="1" ht="108" customHeight="1" x14ac:dyDescent="0.3">
      <c r="A7" s="14"/>
      <c r="B7" s="14"/>
      <c r="C7" s="73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77">
        <v>141</v>
      </c>
      <c r="Q7" s="234"/>
      <c r="R7" s="235"/>
      <c r="T7" s="72" t="s">
        <v>750</v>
      </c>
      <c r="U7" s="244" t="s">
        <v>705</v>
      </c>
      <c r="V7" s="245" t="s">
        <v>749</v>
      </c>
      <c r="W7" s="241"/>
    </row>
    <row r="8" spans="1:23" s="15" customFormat="1" ht="108" customHeight="1" x14ac:dyDescent="0.3">
      <c r="A8" s="14"/>
      <c r="B8" s="14"/>
      <c r="C8" s="73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79"/>
      <c r="Q8" s="234"/>
      <c r="R8" s="235"/>
      <c r="T8" s="280" t="s">
        <v>770</v>
      </c>
      <c r="U8" s="281"/>
      <c r="V8" s="282"/>
    </row>
    <row r="9" spans="1:23" s="19" customFormat="1" ht="51.6" customHeight="1" x14ac:dyDescent="0.3">
      <c r="A9" s="404" t="s">
        <v>0</v>
      </c>
      <c r="B9" s="404" t="s">
        <v>20</v>
      </c>
      <c r="C9" s="404" t="s">
        <v>12</v>
      </c>
      <c r="D9" s="404" t="s">
        <v>98</v>
      </c>
      <c r="E9" s="4" t="s">
        <v>120</v>
      </c>
      <c r="F9" s="405" t="s">
        <v>401</v>
      </c>
      <c r="G9" s="405"/>
      <c r="H9" s="405" t="s">
        <v>402</v>
      </c>
      <c r="I9" s="405"/>
      <c r="J9" s="405" t="s">
        <v>403</v>
      </c>
      <c r="K9" s="405"/>
      <c r="L9" s="405" t="s">
        <v>404</v>
      </c>
      <c r="M9" s="405"/>
      <c r="N9" s="405" t="s">
        <v>405</v>
      </c>
      <c r="O9" s="405"/>
      <c r="P9" s="401" t="s">
        <v>453</v>
      </c>
      <c r="Q9" s="402"/>
      <c r="R9" s="402"/>
      <c r="S9" s="402"/>
      <c r="T9" s="403" t="s">
        <v>126</v>
      </c>
      <c r="U9" s="403"/>
      <c r="V9" s="22"/>
    </row>
    <row r="10" spans="1:23" ht="19.350000000000001" customHeight="1" x14ac:dyDescent="0.3">
      <c r="A10" s="404"/>
      <c r="B10" s="404"/>
      <c r="C10" s="404"/>
      <c r="D10" s="404"/>
      <c r="E10" s="4"/>
      <c r="F10" s="13">
        <v>1</v>
      </c>
      <c r="G10" s="13">
        <v>3</v>
      </c>
      <c r="H10" s="13">
        <v>1</v>
      </c>
      <c r="I10" s="13">
        <v>3</v>
      </c>
      <c r="J10" s="13">
        <v>1</v>
      </c>
      <c r="K10" s="13">
        <v>3</v>
      </c>
      <c r="L10" s="13">
        <v>1</v>
      </c>
      <c r="M10" s="13">
        <v>3</v>
      </c>
      <c r="N10" s="13">
        <v>1</v>
      </c>
      <c r="O10" s="40">
        <v>3</v>
      </c>
      <c r="P10" s="47" t="s">
        <v>164</v>
      </c>
      <c r="Q10" s="47" t="s">
        <v>165</v>
      </c>
      <c r="R10" s="48">
        <v>3</v>
      </c>
      <c r="S10" s="48">
        <v>4</v>
      </c>
      <c r="T10" s="21" t="s">
        <v>129</v>
      </c>
      <c r="U10" s="21" t="s">
        <v>124</v>
      </c>
    </row>
    <row r="11" spans="1:23" x14ac:dyDescent="0.3">
      <c r="A11" s="4"/>
      <c r="B11" s="4"/>
      <c r="C11" s="4"/>
      <c r="D11" s="4"/>
      <c r="E11" s="4"/>
      <c r="F11" s="6"/>
      <c r="G11" s="6"/>
      <c r="H11" s="6"/>
      <c r="I11" s="6"/>
      <c r="J11" s="6"/>
      <c r="K11" s="6"/>
      <c r="L11" s="6"/>
      <c r="M11" s="6"/>
      <c r="N11" s="6"/>
      <c r="O11" s="41"/>
      <c r="P11" s="49"/>
      <c r="Q11" s="49"/>
      <c r="R11" s="57"/>
      <c r="S11" s="54"/>
    </row>
    <row r="12" spans="1:23" ht="71.099999999999994" customHeight="1" x14ac:dyDescent="0.3">
      <c r="A12" s="4"/>
      <c r="B12" s="4"/>
      <c r="C12" s="4"/>
      <c r="D12" s="4"/>
      <c r="E12" s="4"/>
      <c r="F12" s="6"/>
      <c r="G12" s="6"/>
      <c r="H12" s="6"/>
      <c r="I12" s="6"/>
      <c r="J12" s="6"/>
      <c r="K12" s="6"/>
      <c r="L12" s="6"/>
      <c r="M12" s="6"/>
      <c r="N12" s="6"/>
      <c r="O12" s="41"/>
      <c r="P12" s="49"/>
      <c r="Q12" s="49"/>
      <c r="R12" s="57"/>
      <c r="S12" s="54"/>
      <c r="T12" s="247" t="s">
        <v>470</v>
      </c>
    </row>
    <row r="13" spans="1:23" s="28" customFormat="1" ht="210.6" customHeight="1" x14ac:dyDescent="0.3">
      <c r="A13" s="26" t="s">
        <v>138</v>
      </c>
      <c r="B13" s="26"/>
      <c r="C13" s="26"/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42"/>
      <c r="P13" s="49"/>
      <c r="Q13" s="49"/>
      <c r="R13" s="48"/>
      <c r="S13" s="55"/>
      <c r="T13" s="141" t="s">
        <v>471</v>
      </c>
      <c r="U13" s="255" t="s">
        <v>472</v>
      </c>
      <c r="V13" s="68" t="s">
        <v>473</v>
      </c>
    </row>
    <row r="14" spans="1:23" s="28" customFormat="1" ht="409.35" customHeight="1" x14ac:dyDescent="0.3">
      <c r="A14" s="26"/>
      <c r="B14" s="26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42"/>
      <c r="P14" s="49"/>
      <c r="Q14" s="49"/>
      <c r="R14" s="48"/>
      <c r="S14" s="55"/>
      <c r="T14" s="142" t="s">
        <v>474</v>
      </c>
      <c r="U14" s="143" t="s">
        <v>475</v>
      </c>
      <c r="V14" s="29" t="s">
        <v>454</v>
      </c>
    </row>
    <row r="15" spans="1:23" s="28" customFormat="1" ht="107.1" customHeight="1" x14ac:dyDescent="0.3">
      <c r="A15" s="26"/>
      <c r="B15" s="26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42"/>
      <c r="P15" s="71" t="s">
        <v>213</v>
      </c>
      <c r="Q15" s="71" t="s">
        <v>214</v>
      </c>
      <c r="R15" s="71" t="s">
        <v>215</v>
      </c>
      <c r="S15" s="56"/>
      <c r="T15" s="46" t="s">
        <v>265</v>
      </c>
      <c r="U15" s="29"/>
      <c r="V15" s="68"/>
    </row>
    <row r="16" spans="1:23" s="28" customFormat="1" ht="49.35" customHeight="1" x14ac:dyDescent="0.3">
      <c r="A16" s="26"/>
      <c r="B16" s="26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42"/>
      <c r="P16" s="71" t="s">
        <v>191</v>
      </c>
      <c r="Q16" s="49"/>
      <c r="R16" s="48"/>
      <c r="S16" s="55"/>
      <c r="T16" s="141" t="s">
        <v>224</v>
      </c>
      <c r="U16" s="29"/>
      <c r="V16" s="68"/>
    </row>
    <row r="17" spans="1:22" s="28" customFormat="1" ht="266.10000000000002" customHeight="1" x14ac:dyDescent="0.3">
      <c r="A17" s="26"/>
      <c r="B17" s="26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42"/>
      <c r="P17" s="71" t="s">
        <v>709</v>
      </c>
      <c r="Q17" s="49"/>
      <c r="R17" s="48"/>
      <c r="S17" s="55"/>
      <c r="T17" s="144" t="s">
        <v>476</v>
      </c>
      <c r="U17" s="29"/>
      <c r="V17" s="68"/>
    </row>
    <row r="18" spans="1:22" ht="24.6" customHeight="1" x14ac:dyDescent="0.3">
      <c r="A18" s="4"/>
      <c r="B18" s="4"/>
      <c r="C18" s="4"/>
      <c r="D18" s="4"/>
      <c r="E18" s="4"/>
      <c r="F18" s="6"/>
      <c r="G18" s="6"/>
      <c r="H18" s="6"/>
      <c r="I18" s="6"/>
      <c r="J18" s="6"/>
      <c r="K18" s="6"/>
      <c r="L18" s="6"/>
      <c r="M18" s="6"/>
      <c r="N18" s="6"/>
      <c r="O18" s="41"/>
      <c r="P18" s="49"/>
      <c r="Q18" s="49"/>
      <c r="R18" s="48"/>
      <c r="S18" s="48"/>
    </row>
    <row r="19" spans="1:22" ht="35.1" customHeight="1" x14ac:dyDescent="0.3">
      <c r="A19" s="69" t="s">
        <v>5</v>
      </c>
      <c r="B19" s="69"/>
      <c r="C19" s="74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50"/>
      <c r="Q19" s="50"/>
      <c r="R19" s="48"/>
      <c r="S19" s="48"/>
      <c r="U19" s="25"/>
    </row>
    <row r="20" spans="1:22" x14ac:dyDescent="0.3">
      <c r="A20" s="7" t="s">
        <v>4</v>
      </c>
      <c r="B20" s="7"/>
      <c r="C20" s="4" t="s">
        <v>1</v>
      </c>
      <c r="D20" s="7"/>
      <c r="E20" s="7"/>
      <c r="F20" s="9"/>
      <c r="G20" s="9"/>
      <c r="H20" s="9"/>
      <c r="I20" s="9"/>
      <c r="J20" s="9"/>
      <c r="K20" s="9"/>
      <c r="L20" s="9"/>
      <c r="M20" s="9"/>
      <c r="N20" s="9"/>
      <c r="O20" s="43"/>
      <c r="P20" s="49"/>
      <c r="Q20" s="49"/>
      <c r="R20" s="48"/>
      <c r="S20" s="48"/>
      <c r="T20" s="24"/>
      <c r="U20" s="24"/>
    </row>
    <row r="21" spans="1:22" ht="14.1" customHeight="1" x14ac:dyDescent="0.3">
      <c r="A21" s="7" t="s">
        <v>9</v>
      </c>
      <c r="B21" s="7"/>
      <c r="C21" s="4" t="s">
        <v>3</v>
      </c>
      <c r="D21" s="7"/>
      <c r="E21" s="7"/>
      <c r="F21" s="9"/>
      <c r="G21" s="9"/>
      <c r="H21" s="9"/>
      <c r="I21" s="9"/>
      <c r="J21" s="9"/>
      <c r="K21" s="9"/>
      <c r="L21" s="9"/>
      <c r="M21" s="9"/>
      <c r="N21" s="9"/>
      <c r="O21" s="43"/>
      <c r="P21" s="49"/>
      <c r="Q21" s="49"/>
      <c r="R21" s="48"/>
      <c r="S21" s="48"/>
    </row>
    <row r="22" spans="1:22" ht="35.4" customHeight="1" x14ac:dyDescent="0.3">
      <c r="A22" s="59" t="s">
        <v>13</v>
      </c>
      <c r="B22" s="4" t="s">
        <v>22</v>
      </c>
      <c r="C22" s="60" t="s">
        <v>267</v>
      </c>
      <c r="D22" s="4" t="s">
        <v>104</v>
      </c>
      <c r="E22" s="4">
        <v>11.28</v>
      </c>
      <c r="F22" s="10"/>
      <c r="G22" s="10"/>
      <c r="H22" s="2">
        <f>E22</f>
        <v>11.28</v>
      </c>
      <c r="I22" s="11"/>
      <c r="J22" s="6"/>
      <c r="K22" s="6"/>
      <c r="L22" s="6"/>
      <c r="M22" s="6"/>
      <c r="N22" s="6"/>
      <c r="O22" s="41"/>
      <c r="P22" s="71" t="s">
        <v>163</v>
      </c>
      <c r="Q22" s="71" t="s">
        <v>166</v>
      </c>
      <c r="R22" s="71" t="s">
        <v>214</v>
      </c>
      <c r="S22" s="53"/>
      <c r="T22" s="406" t="s">
        <v>478</v>
      </c>
      <c r="U22" s="406" t="s">
        <v>477</v>
      </c>
    </row>
    <row r="23" spans="1:22" ht="18.600000000000001" customHeight="1" x14ac:dyDescent="0.3">
      <c r="A23" s="4"/>
      <c r="B23" s="4"/>
      <c r="C23" s="4"/>
      <c r="D23" s="4"/>
      <c r="E23" s="4"/>
      <c r="F23" s="6"/>
      <c r="G23" s="6"/>
      <c r="H23" s="41"/>
      <c r="I23" s="11"/>
      <c r="J23" s="6"/>
      <c r="K23" s="6"/>
      <c r="L23" s="6"/>
      <c r="M23" s="6"/>
      <c r="N23" s="6"/>
      <c r="O23" s="41"/>
      <c r="P23" s="49"/>
      <c r="Q23" s="49"/>
      <c r="R23" s="48"/>
      <c r="S23" s="48"/>
      <c r="T23" s="407"/>
      <c r="U23" s="407"/>
    </row>
    <row r="24" spans="1:22" ht="29.4" customHeight="1" x14ac:dyDescent="0.3">
      <c r="A24" s="59" t="s">
        <v>128</v>
      </c>
      <c r="B24" s="4" t="s">
        <v>22</v>
      </c>
      <c r="C24" s="59" t="s">
        <v>266</v>
      </c>
      <c r="D24" s="4" t="s">
        <v>107</v>
      </c>
      <c r="E24" s="4">
        <v>4.87</v>
      </c>
      <c r="F24" s="10"/>
      <c r="G24" s="10"/>
      <c r="H24" s="2">
        <f>E24</f>
        <v>4.87</v>
      </c>
      <c r="I24" s="11"/>
      <c r="J24" s="6"/>
      <c r="K24" s="6"/>
      <c r="L24" s="6"/>
      <c r="M24" s="6"/>
      <c r="N24" s="6"/>
      <c r="O24" s="41"/>
      <c r="P24" s="53" t="s">
        <v>167</v>
      </c>
      <c r="Q24" s="49"/>
      <c r="R24" s="48"/>
      <c r="S24" s="48"/>
      <c r="T24" s="407"/>
      <c r="U24" s="407"/>
    </row>
    <row r="25" spans="1:22" ht="18.600000000000001" customHeight="1" x14ac:dyDescent="0.3">
      <c r="A25" s="4"/>
      <c r="B25" s="4"/>
      <c r="C25" s="4"/>
      <c r="D25" s="4"/>
      <c r="E25" s="4"/>
      <c r="F25" s="6"/>
      <c r="G25" s="6"/>
      <c r="H25" s="41"/>
      <c r="I25" s="6"/>
      <c r="J25" s="6"/>
      <c r="K25" s="6"/>
      <c r="L25" s="6"/>
      <c r="M25" s="6"/>
      <c r="N25" s="6"/>
      <c r="O25" s="41"/>
      <c r="P25" s="49"/>
      <c r="Q25" s="49"/>
      <c r="R25" s="48"/>
      <c r="S25" s="48"/>
      <c r="T25" s="407"/>
      <c r="U25" s="407"/>
    </row>
    <row r="26" spans="1:22" ht="43.35" customHeight="1" x14ac:dyDescent="0.3">
      <c r="A26" s="59" t="s">
        <v>14</v>
      </c>
      <c r="B26" s="4" t="s">
        <v>22</v>
      </c>
      <c r="C26" s="4"/>
      <c r="D26" s="4" t="s">
        <v>104</v>
      </c>
      <c r="E26" s="4">
        <v>3.92</v>
      </c>
      <c r="F26" s="10"/>
      <c r="G26" s="10"/>
      <c r="H26" s="2">
        <f>E26</f>
        <v>3.92</v>
      </c>
      <c r="I26" s="11"/>
      <c r="J26" s="11"/>
      <c r="K26" s="6"/>
      <c r="L26" s="6"/>
      <c r="M26" s="6"/>
      <c r="N26" s="6"/>
      <c r="O26" s="41"/>
      <c r="P26" s="71" t="s">
        <v>163</v>
      </c>
      <c r="Q26" s="71" t="s">
        <v>214</v>
      </c>
      <c r="R26" s="124" t="s">
        <v>250</v>
      </c>
      <c r="S26" s="48"/>
      <c r="T26" s="407"/>
      <c r="U26" s="407"/>
    </row>
    <row r="27" spans="1:22" ht="26.4" customHeight="1" x14ac:dyDescent="0.3">
      <c r="A27" s="4"/>
      <c r="B27" s="4"/>
      <c r="C27" s="4"/>
      <c r="D27" s="4"/>
      <c r="E27" s="4"/>
      <c r="F27" s="6"/>
      <c r="G27" s="6"/>
      <c r="H27" s="41"/>
      <c r="I27" s="6"/>
      <c r="J27" s="6"/>
      <c r="K27" s="6"/>
      <c r="L27" s="6"/>
      <c r="M27" s="6"/>
      <c r="N27" s="6"/>
      <c r="O27" s="41"/>
      <c r="P27" s="49"/>
      <c r="Q27" s="49"/>
      <c r="R27" s="48"/>
      <c r="S27" s="48"/>
      <c r="T27" s="407"/>
      <c r="U27" s="407"/>
    </row>
    <row r="28" spans="1:22" ht="58.35" customHeight="1" x14ac:dyDescent="0.3">
      <c r="A28" s="59" t="s">
        <v>15</v>
      </c>
      <c r="B28" s="4" t="s">
        <v>22</v>
      </c>
      <c r="C28" s="60" t="s">
        <v>267</v>
      </c>
      <c r="D28" s="4" t="s">
        <v>104</v>
      </c>
      <c r="E28" s="4">
        <v>3.88</v>
      </c>
      <c r="F28" s="10"/>
      <c r="G28" s="10"/>
      <c r="H28" s="2">
        <f>E28</f>
        <v>3.88</v>
      </c>
      <c r="I28" s="11"/>
      <c r="J28" s="6"/>
      <c r="K28" s="6"/>
      <c r="L28" s="6"/>
      <c r="M28" s="6"/>
      <c r="N28" s="6"/>
      <c r="O28" s="41"/>
      <c r="P28" s="49"/>
      <c r="Q28" s="49"/>
      <c r="R28" s="48"/>
      <c r="S28" s="48"/>
      <c r="T28" s="407"/>
      <c r="U28" s="407"/>
    </row>
    <row r="29" spans="1:22" x14ac:dyDescent="0.3">
      <c r="A29" s="4"/>
      <c r="B29" s="4"/>
      <c r="C29" s="4"/>
      <c r="D29" s="4"/>
      <c r="E29" s="4"/>
      <c r="F29" s="6"/>
      <c r="G29" s="6"/>
      <c r="H29" s="41"/>
      <c r="I29" s="6"/>
      <c r="J29" s="11"/>
      <c r="K29" s="11"/>
      <c r="L29" s="11"/>
      <c r="M29" s="6"/>
      <c r="N29" s="6"/>
      <c r="O29" s="41"/>
      <c r="P29" s="49"/>
      <c r="Q29" s="49"/>
      <c r="R29" s="48"/>
      <c r="S29" s="48"/>
      <c r="T29" s="407"/>
      <c r="U29" s="407"/>
    </row>
    <row r="30" spans="1:22" x14ac:dyDescent="0.3">
      <c r="A30" s="59" t="s">
        <v>16</v>
      </c>
      <c r="B30" s="4" t="s">
        <v>21</v>
      </c>
      <c r="C30" s="60" t="s">
        <v>276</v>
      </c>
      <c r="D30" s="4" t="s">
        <v>104</v>
      </c>
      <c r="E30" s="4">
        <v>0.3</v>
      </c>
      <c r="F30" s="10"/>
      <c r="G30" s="10"/>
      <c r="H30" s="2">
        <f>E30</f>
        <v>0.3</v>
      </c>
      <c r="I30" s="6"/>
      <c r="J30" s="11"/>
      <c r="K30" s="11"/>
      <c r="L30" s="11"/>
      <c r="M30" s="6"/>
      <c r="N30" s="6"/>
      <c r="O30" s="41"/>
      <c r="P30" s="49"/>
      <c r="Q30" s="49"/>
      <c r="R30" s="48"/>
      <c r="S30" s="48"/>
      <c r="T30" s="407"/>
      <c r="U30" s="407"/>
    </row>
    <row r="31" spans="1:22" ht="68.400000000000006" customHeight="1" x14ac:dyDescent="0.3">
      <c r="A31" s="4"/>
      <c r="B31" s="4"/>
      <c r="C31" s="4"/>
      <c r="D31" s="4"/>
      <c r="E31" s="4"/>
      <c r="F31" s="6"/>
      <c r="G31" s="6"/>
      <c r="H31" s="41"/>
      <c r="I31" s="6"/>
      <c r="J31" s="11"/>
      <c r="K31" s="11"/>
      <c r="L31" s="11"/>
      <c r="M31" s="6"/>
      <c r="N31" s="6"/>
      <c r="O31" s="41"/>
      <c r="P31" s="49"/>
      <c r="Q31" s="49"/>
      <c r="R31" s="48"/>
      <c r="S31" s="48"/>
      <c r="T31" s="407"/>
      <c r="U31" s="407"/>
    </row>
    <row r="32" spans="1:22" ht="22.35" customHeight="1" x14ac:dyDescent="0.3">
      <c r="A32" s="59" t="s">
        <v>17</v>
      </c>
      <c r="B32" s="4" t="s">
        <v>21</v>
      </c>
      <c r="C32" s="60" t="s">
        <v>276</v>
      </c>
      <c r="D32" s="4" t="s">
        <v>104</v>
      </c>
      <c r="E32" s="4">
        <v>1.32</v>
      </c>
      <c r="F32" s="10"/>
      <c r="G32" s="10"/>
      <c r="H32" s="2">
        <f>E32</f>
        <v>1.32</v>
      </c>
      <c r="I32" s="6"/>
      <c r="J32" s="11"/>
      <c r="K32" s="11"/>
      <c r="L32" s="11"/>
      <c r="M32" s="6"/>
      <c r="N32" s="6"/>
      <c r="O32" s="41"/>
      <c r="P32" s="71" t="s">
        <v>168</v>
      </c>
      <c r="Q32" s="71" t="s">
        <v>169</v>
      </c>
      <c r="R32" s="124" t="s">
        <v>250</v>
      </c>
      <c r="S32" s="48"/>
      <c r="T32" s="407"/>
      <c r="U32" s="407"/>
    </row>
    <row r="33" spans="1:22" x14ac:dyDescent="0.3">
      <c r="A33" s="4"/>
      <c r="B33" s="4"/>
      <c r="C33" s="4"/>
      <c r="D33" s="4"/>
      <c r="E33" s="4"/>
      <c r="F33" s="6"/>
      <c r="G33" s="6"/>
      <c r="H33" s="41"/>
      <c r="I33" s="6"/>
      <c r="J33" s="6"/>
      <c r="K33" s="6"/>
      <c r="L33" s="6"/>
      <c r="M33" s="6"/>
      <c r="N33" s="6"/>
      <c r="O33" s="41"/>
      <c r="P33" s="49"/>
      <c r="Q33" s="49"/>
      <c r="R33" s="48"/>
      <c r="S33" s="48"/>
      <c r="T33" s="407"/>
      <c r="U33" s="407"/>
    </row>
    <row r="34" spans="1:22" ht="35.4" customHeight="1" x14ac:dyDescent="0.3">
      <c r="A34" s="59" t="s">
        <v>18</v>
      </c>
      <c r="B34" s="4" t="s">
        <v>22</v>
      </c>
      <c r="C34" s="60" t="s">
        <v>267</v>
      </c>
      <c r="D34" s="4" t="s">
        <v>104</v>
      </c>
      <c r="E34" s="4">
        <v>2.41</v>
      </c>
      <c r="F34" s="10"/>
      <c r="G34" s="10"/>
      <c r="H34" s="2">
        <f>E34</f>
        <v>2.41</v>
      </c>
      <c r="I34" s="11"/>
      <c r="J34" s="11"/>
      <c r="K34" s="11"/>
      <c r="L34" s="6"/>
      <c r="M34" s="6"/>
      <c r="N34" s="6"/>
      <c r="O34" s="41"/>
      <c r="P34" s="49"/>
      <c r="Q34" s="49"/>
      <c r="R34" s="48"/>
      <c r="S34" s="124" t="s">
        <v>250</v>
      </c>
      <c r="T34" s="407"/>
      <c r="U34" s="407"/>
    </row>
    <row r="35" spans="1:22" x14ac:dyDescent="0.3">
      <c r="A35" s="4"/>
      <c r="B35" s="4"/>
      <c r="C35" s="4"/>
      <c r="D35" s="4"/>
      <c r="E35" s="4"/>
      <c r="F35" s="6"/>
      <c r="G35" s="6"/>
      <c r="H35" s="41"/>
      <c r="I35" s="6"/>
      <c r="J35" s="6"/>
      <c r="K35" s="6"/>
      <c r="L35" s="6"/>
      <c r="M35" s="6"/>
      <c r="N35" s="6"/>
      <c r="O35" s="41"/>
      <c r="P35" s="49"/>
      <c r="Q35" s="49"/>
      <c r="R35" s="48"/>
      <c r="S35" s="48"/>
      <c r="T35" s="407"/>
      <c r="U35" s="407"/>
    </row>
    <row r="36" spans="1:22" ht="43.35" customHeight="1" x14ac:dyDescent="0.3">
      <c r="A36" s="60" t="s">
        <v>19</v>
      </c>
      <c r="B36" s="4" t="s">
        <v>22</v>
      </c>
      <c r="C36" s="4"/>
      <c r="D36" s="4" t="s">
        <v>107</v>
      </c>
      <c r="E36" s="4">
        <v>11.51</v>
      </c>
      <c r="F36" s="10"/>
      <c r="G36" s="10"/>
      <c r="H36" s="2">
        <f>E36</f>
        <v>11.51</v>
      </c>
      <c r="I36" s="11"/>
      <c r="J36" s="11"/>
      <c r="K36" s="6"/>
      <c r="L36" s="6"/>
      <c r="M36" s="6"/>
      <c r="N36" s="6"/>
      <c r="O36" s="41"/>
      <c r="P36" s="71" t="s">
        <v>170</v>
      </c>
      <c r="Q36" s="71" t="s">
        <v>413</v>
      </c>
      <c r="R36" s="71" t="s">
        <v>171</v>
      </c>
      <c r="S36" s="53"/>
      <c r="T36" s="398"/>
      <c r="U36" s="398"/>
    </row>
    <row r="37" spans="1:22" x14ac:dyDescent="0.3">
      <c r="A37" s="4"/>
      <c r="B37" s="4"/>
      <c r="C37" s="4"/>
      <c r="D37" s="4"/>
      <c r="E37" s="4"/>
      <c r="F37" s="6"/>
      <c r="G37" s="6"/>
      <c r="H37" s="41"/>
      <c r="I37" s="6"/>
      <c r="J37" s="6"/>
      <c r="K37" s="6"/>
      <c r="L37" s="6"/>
      <c r="M37" s="6"/>
      <c r="N37" s="6"/>
      <c r="O37" s="41"/>
      <c r="P37" s="49"/>
      <c r="Q37" s="49"/>
      <c r="R37" s="48"/>
      <c r="S37" s="48"/>
      <c r="T37" s="398"/>
      <c r="U37" s="398"/>
    </row>
    <row r="38" spans="1:22" x14ac:dyDescent="0.3">
      <c r="A38" s="59" t="s">
        <v>25</v>
      </c>
      <c r="B38" s="4" t="s">
        <v>21</v>
      </c>
      <c r="C38" s="60" t="s">
        <v>276</v>
      </c>
      <c r="D38" s="4" t="s">
        <v>104</v>
      </c>
      <c r="E38" s="4">
        <v>0.5</v>
      </c>
      <c r="F38" s="10"/>
      <c r="G38" s="10"/>
      <c r="H38" s="2">
        <f>E38</f>
        <v>0.5</v>
      </c>
      <c r="I38" s="11"/>
      <c r="J38" s="11"/>
      <c r="K38" s="11"/>
      <c r="L38" s="6"/>
      <c r="M38" s="6"/>
      <c r="N38" s="6"/>
      <c r="O38" s="41"/>
      <c r="P38" s="49"/>
      <c r="Q38" s="49"/>
      <c r="R38" s="48"/>
      <c r="S38" s="48"/>
    </row>
    <row r="39" spans="1:22" x14ac:dyDescent="0.3">
      <c r="A39" s="4"/>
      <c r="B39" s="4"/>
      <c r="C39" s="4"/>
      <c r="D39" s="4"/>
      <c r="E39" s="4"/>
      <c r="F39" s="6"/>
      <c r="G39" s="6"/>
      <c r="H39" s="41"/>
      <c r="I39" s="11"/>
      <c r="J39" s="11"/>
      <c r="K39" s="11"/>
      <c r="L39" s="6"/>
      <c r="M39" s="6"/>
      <c r="N39" s="6"/>
      <c r="O39" s="41"/>
      <c r="P39" s="49"/>
      <c r="Q39" s="49"/>
      <c r="R39" s="48"/>
      <c r="S39" s="48"/>
    </row>
    <row r="40" spans="1:22" x14ac:dyDescent="0.3">
      <c r="A40" s="59" t="s">
        <v>23</v>
      </c>
      <c r="B40" s="4" t="s">
        <v>21</v>
      </c>
      <c r="C40" s="60" t="s">
        <v>276</v>
      </c>
      <c r="D40" s="4" t="s">
        <v>104</v>
      </c>
      <c r="E40" s="4">
        <v>0.45</v>
      </c>
      <c r="F40" s="10"/>
      <c r="G40" s="10"/>
      <c r="H40" s="2">
        <f>E40</f>
        <v>0.45</v>
      </c>
      <c r="I40" s="11"/>
      <c r="J40" s="11"/>
      <c r="K40" s="11"/>
      <c r="L40" s="6"/>
      <c r="M40" s="6"/>
      <c r="N40" s="6"/>
      <c r="O40" s="41"/>
      <c r="P40" s="49"/>
      <c r="Q40" s="49"/>
      <c r="R40" s="48"/>
      <c r="S40" s="48"/>
    </row>
    <row r="41" spans="1:22" x14ac:dyDescent="0.3">
      <c r="A41" s="4"/>
      <c r="B41" s="4"/>
      <c r="C41" s="4"/>
      <c r="D41" s="4"/>
      <c r="E41" s="4"/>
      <c r="F41" s="6"/>
      <c r="G41" s="6"/>
      <c r="H41" s="41"/>
      <c r="I41" s="6"/>
      <c r="J41" s="6"/>
      <c r="K41" s="6"/>
      <c r="L41" s="6"/>
      <c r="M41" s="6"/>
      <c r="N41" s="6"/>
      <c r="O41" s="41"/>
      <c r="P41" s="49"/>
      <c r="Q41" s="49"/>
      <c r="R41" s="48"/>
      <c r="S41" s="48"/>
    </row>
    <row r="42" spans="1:22" ht="110.1" customHeight="1" x14ac:dyDescent="0.3">
      <c r="A42" s="59" t="s">
        <v>270</v>
      </c>
      <c r="B42" s="4" t="s">
        <v>21</v>
      </c>
      <c r="C42" s="60" t="s">
        <v>276</v>
      </c>
      <c r="D42" s="4" t="s">
        <v>104</v>
      </c>
      <c r="E42" s="4">
        <v>2.0699999999999998</v>
      </c>
      <c r="F42" s="10"/>
      <c r="G42" s="10"/>
      <c r="H42" s="2">
        <f>E42</f>
        <v>2.0699999999999998</v>
      </c>
      <c r="I42" s="6"/>
      <c r="J42" s="11"/>
      <c r="K42" s="11"/>
      <c r="L42" s="11"/>
      <c r="M42" s="6"/>
      <c r="N42" s="6"/>
      <c r="O42" s="41"/>
      <c r="P42" s="123" t="s">
        <v>172</v>
      </c>
      <c r="Q42" s="123" t="s">
        <v>173</v>
      </c>
      <c r="R42" s="123" t="s">
        <v>250</v>
      </c>
      <c r="S42" s="48"/>
      <c r="T42" s="409" t="s">
        <v>706</v>
      </c>
      <c r="U42" s="400" t="s">
        <v>707</v>
      </c>
    </row>
    <row r="43" spans="1:22" ht="268.35000000000002" customHeight="1" x14ac:dyDescent="0.3">
      <c r="A43" s="4"/>
      <c r="B43" s="4"/>
      <c r="C43" s="4"/>
      <c r="D43" s="4"/>
      <c r="E43" s="4"/>
      <c r="F43" s="6"/>
      <c r="G43" s="6"/>
      <c r="H43" s="41"/>
      <c r="I43" s="6"/>
      <c r="J43" s="6"/>
      <c r="K43" s="6"/>
      <c r="L43" s="6"/>
      <c r="M43" s="6"/>
      <c r="N43" s="6"/>
      <c r="O43" s="41"/>
      <c r="P43" s="284" t="s">
        <v>180</v>
      </c>
      <c r="Q43" s="49"/>
      <c r="R43" s="48"/>
      <c r="S43" s="48"/>
      <c r="T43" s="409"/>
      <c r="U43" s="400"/>
      <c r="V43" s="246" t="s">
        <v>708</v>
      </c>
    </row>
    <row r="44" spans="1:22" ht="28.8" x14ac:dyDescent="0.3">
      <c r="A44" s="59" t="s">
        <v>24</v>
      </c>
      <c r="B44" s="4" t="s">
        <v>22</v>
      </c>
      <c r="C44" s="60" t="s">
        <v>267</v>
      </c>
      <c r="D44" s="4" t="s">
        <v>104</v>
      </c>
      <c r="E44" s="4">
        <v>4.63</v>
      </c>
      <c r="F44" s="10"/>
      <c r="G44" s="10"/>
      <c r="H44" s="2">
        <f>E44</f>
        <v>4.63</v>
      </c>
      <c r="I44" s="11"/>
      <c r="J44" s="11"/>
      <c r="K44" s="11"/>
      <c r="L44" s="6"/>
      <c r="M44" s="6"/>
      <c r="N44" s="6"/>
      <c r="O44" s="41"/>
      <c r="P44" s="49"/>
      <c r="Q44" s="49"/>
      <c r="R44" s="48"/>
      <c r="S44" s="48"/>
    </row>
    <row r="45" spans="1:22" x14ac:dyDescent="0.3">
      <c r="A45" s="4"/>
      <c r="B45" s="4"/>
      <c r="C45" s="4"/>
      <c r="D45" s="4"/>
      <c r="E45" s="4"/>
      <c r="F45" s="6"/>
      <c r="G45" s="6"/>
      <c r="H45" s="41"/>
      <c r="I45" s="6"/>
      <c r="J45" s="6"/>
      <c r="K45" s="6"/>
      <c r="L45" s="6"/>
      <c r="M45" s="6"/>
      <c r="N45" s="6"/>
      <c r="O45" s="41"/>
      <c r="P45" s="49"/>
      <c r="Q45" s="49"/>
      <c r="R45" s="48"/>
      <c r="S45" s="48"/>
    </row>
    <row r="46" spans="1:22" ht="24" x14ac:dyDescent="0.3">
      <c r="A46" s="60" t="s">
        <v>26</v>
      </c>
      <c r="B46" s="4" t="s">
        <v>22</v>
      </c>
      <c r="C46" s="4"/>
      <c r="D46" s="4" t="s">
        <v>104</v>
      </c>
      <c r="E46" s="4">
        <v>1.94</v>
      </c>
      <c r="F46" s="10"/>
      <c r="G46" s="10"/>
      <c r="H46" s="2">
        <f>E46</f>
        <v>1.94</v>
      </c>
      <c r="I46" s="11"/>
      <c r="J46" s="11"/>
      <c r="K46" s="6"/>
      <c r="L46" s="6"/>
      <c r="M46" s="6"/>
      <c r="N46" s="6"/>
      <c r="O46" s="41"/>
      <c r="P46" s="71" t="s">
        <v>217</v>
      </c>
      <c r="Q46" s="123" t="s">
        <v>250</v>
      </c>
      <c r="R46" s="48"/>
      <c r="S46" s="48"/>
    </row>
    <row r="47" spans="1:22" x14ac:dyDescent="0.3">
      <c r="A47" s="4"/>
      <c r="B47" s="4"/>
      <c r="C47" s="4"/>
      <c r="D47" s="4"/>
      <c r="E47" s="4"/>
      <c r="F47" s="6"/>
      <c r="G47" s="6"/>
      <c r="H47" s="41"/>
      <c r="I47" s="11"/>
      <c r="J47" s="11"/>
      <c r="K47" s="6"/>
      <c r="L47" s="6"/>
      <c r="M47" s="6"/>
      <c r="N47" s="6"/>
      <c r="O47" s="41"/>
      <c r="P47" s="53"/>
      <c r="Q47" s="49"/>
      <c r="R47" s="48"/>
      <c r="S47" s="48"/>
    </row>
    <row r="48" spans="1:22" ht="30.6" customHeight="1" x14ac:dyDescent="0.3">
      <c r="A48" s="59" t="s">
        <v>27</v>
      </c>
      <c r="B48" s="4" t="s">
        <v>22</v>
      </c>
      <c r="C48" s="60" t="s">
        <v>267</v>
      </c>
      <c r="D48" s="4" t="s">
        <v>104</v>
      </c>
      <c r="E48" s="4">
        <v>5.34</v>
      </c>
      <c r="F48" s="10"/>
      <c r="G48" s="10"/>
      <c r="H48" s="2">
        <f>E48</f>
        <v>5.34</v>
      </c>
      <c r="I48" s="11"/>
      <c r="J48" s="11"/>
      <c r="K48" s="6"/>
      <c r="L48" s="6"/>
      <c r="M48" s="6"/>
      <c r="N48" s="6"/>
      <c r="O48" s="41"/>
      <c r="P48" s="71" t="s">
        <v>175</v>
      </c>
      <c r="Q48" s="49"/>
      <c r="R48" s="48"/>
      <c r="S48" s="48"/>
      <c r="T48" s="398"/>
      <c r="U48" s="398"/>
    </row>
    <row r="49" spans="1:21" ht="30.6" customHeight="1" x14ac:dyDescent="0.3">
      <c r="A49" s="4"/>
      <c r="B49" s="4"/>
      <c r="C49" s="4"/>
      <c r="D49" s="4"/>
      <c r="E49" s="4"/>
      <c r="F49" s="6"/>
      <c r="G49" s="6"/>
      <c r="H49" s="6"/>
      <c r="I49" s="6"/>
      <c r="J49" s="6"/>
      <c r="K49" s="6"/>
      <c r="L49" s="6"/>
      <c r="M49" s="6"/>
      <c r="N49" s="6"/>
      <c r="O49" s="41"/>
      <c r="P49" s="49"/>
      <c r="Q49" s="49"/>
      <c r="R49" s="48"/>
      <c r="S49" s="48"/>
      <c r="T49" s="398"/>
      <c r="U49" s="398"/>
    </row>
    <row r="50" spans="1:21" ht="112.35" customHeight="1" x14ac:dyDescent="0.3">
      <c r="A50" s="4" t="s">
        <v>269</v>
      </c>
      <c r="B50" s="4" t="s">
        <v>21</v>
      </c>
      <c r="C50" s="4"/>
      <c r="D50" s="4" t="s">
        <v>108</v>
      </c>
      <c r="E50" s="4">
        <v>1.1399999999999999</v>
      </c>
      <c r="F50" s="10"/>
      <c r="G50" s="10"/>
      <c r="H50" s="10"/>
      <c r="I50" s="2">
        <v>1.1399999999999999</v>
      </c>
      <c r="J50" s="11"/>
      <c r="K50" s="11"/>
      <c r="M50" s="6"/>
      <c r="N50" s="6"/>
      <c r="O50" s="41"/>
      <c r="P50" s="53" t="s">
        <v>250</v>
      </c>
      <c r="Q50" s="53" t="s">
        <v>176</v>
      </c>
      <c r="R50" s="53" t="s">
        <v>250</v>
      </c>
      <c r="S50" s="48"/>
      <c r="T50" s="248" t="s">
        <v>333</v>
      </c>
      <c r="U50" s="120" t="s">
        <v>228</v>
      </c>
    </row>
    <row r="51" spans="1:21" ht="112.35" customHeight="1" x14ac:dyDescent="0.3">
      <c r="A51" s="4"/>
      <c r="B51" s="4"/>
      <c r="C51" s="4"/>
      <c r="D51" s="4"/>
      <c r="E51" s="4"/>
      <c r="F51" s="11"/>
      <c r="G51" s="11"/>
      <c r="H51" s="11"/>
      <c r="I51" s="6"/>
      <c r="J51" s="6"/>
      <c r="K51" s="6"/>
      <c r="L51" s="6"/>
      <c r="M51" s="6"/>
      <c r="N51" s="6"/>
      <c r="O51" s="41"/>
      <c r="P51" s="49"/>
      <c r="Q51" s="49"/>
      <c r="R51" s="48"/>
      <c r="S51" s="48"/>
      <c r="T51" s="248"/>
      <c r="U51" s="120"/>
    </row>
    <row r="52" spans="1:21" ht="40.35" customHeight="1" x14ac:dyDescent="0.3">
      <c r="A52" s="60" t="s">
        <v>28</v>
      </c>
      <c r="B52" s="4" t="s">
        <v>22</v>
      </c>
      <c r="C52" s="4"/>
      <c r="D52" s="4" t="s">
        <v>107</v>
      </c>
      <c r="E52" s="4">
        <v>10.8</v>
      </c>
      <c r="F52" s="10"/>
      <c r="G52" s="10"/>
      <c r="H52" s="2">
        <f>E52</f>
        <v>10.8</v>
      </c>
      <c r="I52" s="11"/>
      <c r="J52" s="11"/>
      <c r="K52" s="6"/>
      <c r="L52" s="67"/>
      <c r="M52" s="6"/>
      <c r="N52" s="6"/>
      <c r="O52" s="41"/>
      <c r="P52" s="53" t="s">
        <v>177</v>
      </c>
      <c r="Q52" s="71" t="s">
        <v>178</v>
      </c>
      <c r="R52" s="48"/>
      <c r="S52" s="48"/>
      <c r="T52" s="398"/>
      <c r="U52" s="398" t="s">
        <v>455</v>
      </c>
    </row>
    <row r="53" spans="1:21" ht="40.35" customHeight="1" x14ac:dyDescent="0.3">
      <c r="A53" s="4"/>
      <c r="B53" s="4"/>
      <c r="C53" s="4"/>
      <c r="D53" s="4"/>
      <c r="E53" s="4"/>
      <c r="F53" s="6"/>
      <c r="G53" s="6"/>
      <c r="H53" s="41"/>
      <c r="I53" s="6"/>
      <c r="J53" s="6"/>
      <c r="K53" s="6"/>
      <c r="L53" s="67"/>
      <c r="M53" s="6"/>
      <c r="N53" s="6"/>
      <c r="O53" s="41"/>
      <c r="P53" s="49"/>
      <c r="Q53" s="49"/>
      <c r="R53" s="48"/>
      <c r="S53" s="48"/>
      <c r="T53" s="398"/>
      <c r="U53" s="398"/>
    </row>
    <row r="54" spans="1:21" ht="21" customHeight="1" x14ac:dyDescent="0.3">
      <c r="A54" s="4" t="s">
        <v>268</v>
      </c>
      <c r="B54" s="4" t="s">
        <v>21</v>
      </c>
      <c r="C54" s="4"/>
      <c r="D54" s="4" t="s">
        <v>104</v>
      </c>
      <c r="E54" s="4">
        <v>1.65</v>
      </c>
      <c r="F54" s="10"/>
      <c r="G54" s="10"/>
      <c r="H54" s="2">
        <f>E54</f>
        <v>1.65</v>
      </c>
      <c r="I54" s="11"/>
      <c r="J54" s="11"/>
      <c r="K54" s="11"/>
      <c r="L54" s="67"/>
      <c r="M54" s="6"/>
      <c r="N54" s="6"/>
      <c r="O54" s="41"/>
      <c r="P54" s="53" t="s">
        <v>218</v>
      </c>
      <c r="Q54" s="49"/>
      <c r="R54" s="48"/>
      <c r="S54" s="48"/>
      <c r="T54" s="398"/>
      <c r="U54" s="398"/>
    </row>
    <row r="55" spans="1:21" x14ac:dyDescent="0.3">
      <c r="A55" s="4"/>
      <c r="B55" s="4"/>
      <c r="C55" s="4"/>
      <c r="D55" s="4"/>
      <c r="E55" s="4"/>
      <c r="F55" s="6"/>
      <c r="G55" s="6"/>
      <c r="H55" s="41"/>
      <c r="I55" s="6"/>
      <c r="J55" s="6"/>
      <c r="K55" s="6"/>
      <c r="L55" s="67"/>
      <c r="M55" s="6"/>
      <c r="N55" s="6"/>
      <c r="O55" s="41"/>
      <c r="P55" s="49"/>
      <c r="Q55" s="49"/>
      <c r="R55" s="48"/>
      <c r="S55" s="48"/>
      <c r="T55" s="398"/>
      <c r="U55" s="398"/>
    </row>
    <row r="56" spans="1:21" ht="28.8" x14ac:dyDescent="0.3">
      <c r="A56" s="59" t="s">
        <v>29</v>
      </c>
      <c r="B56" s="4" t="s">
        <v>22</v>
      </c>
      <c r="C56" s="60" t="s">
        <v>267</v>
      </c>
      <c r="D56" s="4" t="s">
        <v>108</v>
      </c>
      <c r="E56" s="4">
        <v>8.8699999999999992</v>
      </c>
      <c r="F56" s="10"/>
      <c r="G56" s="10"/>
      <c r="H56" s="2">
        <f>E56</f>
        <v>8.8699999999999992</v>
      </c>
      <c r="I56" s="6"/>
      <c r="J56" s="11"/>
      <c r="K56" s="11"/>
      <c r="M56" s="6"/>
      <c r="N56" s="6"/>
      <c r="O56" s="41"/>
      <c r="P56" s="49"/>
      <c r="Q56" s="49"/>
      <c r="R56" s="48"/>
      <c r="S56" s="48"/>
      <c r="T56" s="24"/>
    </row>
    <row r="57" spans="1:21" x14ac:dyDescent="0.3">
      <c r="A57" s="4"/>
      <c r="B57" s="4"/>
      <c r="C57" s="4"/>
      <c r="D57" s="4"/>
      <c r="E57" s="4"/>
      <c r="F57" s="6"/>
      <c r="G57" s="6"/>
      <c r="H57" s="41"/>
      <c r="I57" s="6"/>
      <c r="J57" s="6"/>
      <c r="K57" s="6"/>
      <c r="L57" s="67"/>
      <c r="M57" s="6"/>
      <c r="N57" s="6"/>
      <c r="O57" s="41"/>
      <c r="P57" s="49"/>
      <c r="Q57" s="49"/>
      <c r="R57" s="48"/>
      <c r="S57" s="48"/>
    </row>
    <row r="58" spans="1:21" ht="24" x14ac:dyDescent="0.3">
      <c r="A58" s="60" t="s">
        <v>30</v>
      </c>
      <c r="B58" s="4" t="s">
        <v>22</v>
      </c>
      <c r="C58" s="4"/>
      <c r="D58" s="4" t="s">
        <v>109</v>
      </c>
      <c r="E58" s="4">
        <v>13.12</v>
      </c>
      <c r="F58" s="10"/>
      <c r="G58" s="10"/>
      <c r="H58" s="2">
        <f>E58</f>
        <v>13.12</v>
      </c>
      <c r="I58" s="6"/>
      <c r="J58" s="6"/>
      <c r="K58" s="11"/>
      <c r="L58" s="38"/>
      <c r="M58" s="11"/>
      <c r="N58" s="6"/>
      <c r="O58" s="41"/>
      <c r="P58" s="71" t="s">
        <v>219</v>
      </c>
      <c r="Q58" s="49"/>
      <c r="R58" s="48"/>
      <c r="S58" s="48"/>
      <c r="T58" s="24"/>
    </row>
    <row r="59" spans="1:21" x14ac:dyDescent="0.3">
      <c r="A59" s="4"/>
      <c r="B59" s="4"/>
      <c r="C59" s="4"/>
      <c r="D59" s="4"/>
      <c r="E59" s="4"/>
      <c r="F59" s="6"/>
      <c r="G59" s="6"/>
      <c r="H59" s="41"/>
      <c r="I59" s="6"/>
      <c r="J59" s="6"/>
      <c r="K59" s="11"/>
      <c r="L59" s="38"/>
      <c r="M59" s="11"/>
      <c r="N59" s="6"/>
      <c r="O59" s="41"/>
      <c r="P59" s="49"/>
      <c r="Q59" s="49"/>
      <c r="R59" s="48"/>
      <c r="S59" s="48"/>
    </row>
    <row r="60" spans="1:21" ht="18" customHeight="1" x14ac:dyDescent="0.3">
      <c r="A60" s="60" t="s">
        <v>264</v>
      </c>
      <c r="B60" s="4" t="s">
        <v>22</v>
      </c>
      <c r="C60" s="4"/>
      <c r="D60" s="4" t="s">
        <v>108</v>
      </c>
      <c r="E60" s="4">
        <v>3.96</v>
      </c>
      <c r="F60" s="10"/>
      <c r="G60" s="10"/>
      <c r="H60" s="2">
        <f>E60</f>
        <v>3.96</v>
      </c>
      <c r="I60" s="6"/>
      <c r="J60" s="6"/>
      <c r="K60" s="11"/>
      <c r="L60" s="38"/>
      <c r="M60" s="11"/>
      <c r="N60" s="6"/>
      <c r="O60" s="41"/>
      <c r="P60" s="123" t="s">
        <v>250</v>
      </c>
      <c r="Q60" s="49"/>
      <c r="R60" s="48"/>
      <c r="S60" s="48"/>
      <c r="T60" s="24"/>
    </row>
    <row r="61" spans="1:21" x14ac:dyDescent="0.3">
      <c r="A61" s="4"/>
      <c r="B61" s="4"/>
      <c r="C61" s="4"/>
      <c r="D61" s="4"/>
      <c r="E61" s="4"/>
      <c r="F61" s="6"/>
      <c r="G61" s="6"/>
      <c r="H61" s="41"/>
      <c r="I61" s="6"/>
      <c r="J61" s="6"/>
      <c r="K61" s="6"/>
      <c r="L61" s="67"/>
      <c r="M61" s="6"/>
      <c r="N61" s="6"/>
      <c r="O61" s="41"/>
      <c r="P61" s="49"/>
      <c r="Q61" s="49"/>
      <c r="R61" s="48"/>
      <c r="S61" s="48"/>
    </row>
    <row r="62" spans="1:21" ht="45.6" customHeight="1" x14ac:dyDescent="0.3">
      <c r="A62" s="59" t="s">
        <v>31</v>
      </c>
      <c r="B62" s="4" t="s">
        <v>21</v>
      </c>
      <c r="C62" s="4"/>
      <c r="D62" s="4" t="s">
        <v>106</v>
      </c>
      <c r="E62" s="4">
        <v>1.62</v>
      </c>
      <c r="F62" s="10"/>
      <c r="G62" s="10"/>
      <c r="H62" s="2">
        <f>E62</f>
        <v>1.62</v>
      </c>
      <c r="I62" s="11"/>
      <c r="J62" s="11"/>
      <c r="K62" s="6"/>
      <c r="L62" s="67"/>
      <c r="M62" s="6"/>
      <c r="N62" s="6"/>
      <c r="O62" s="123" t="s">
        <v>250</v>
      </c>
      <c r="P62" s="123" t="s">
        <v>179</v>
      </c>
      <c r="Q62" s="284" t="s">
        <v>180</v>
      </c>
      <c r="R62" s="284" t="s">
        <v>251</v>
      </c>
      <c r="S62" s="284" t="s">
        <v>252</v>
      </c>
      <c r="T62" s="399"/>
      <c r="U62" s="398"/>
    </row>
    <row r="63" spans="1:21" ht="67.5" customHeight="1" x14ac:dyDescent="0.3">
      <c r="A63" s="4"/>
      <c r="B63" s="4"/>
      <c r="C63" s="4"/>
      <c r="D63" s="4"/>
      <c r="E63" s="4"/>
      <c r="F63" s="6"/>
      <c r="G63" s="6"/>
      <c r="H63" s="41"/>
      <c r="I63" s="6"/>
      <c r="J63" s="6"/>
      <c r="K63" s="6"/>
      <c r="L63" s="67"/>
      <c r="M63" s="6"/>
      <c r="N63" s="6"/>
      <c r="O63" s="41"/>
      <c r="P63" s="49"/>
      <c r="Q63" s="49"/>
      <c r="R63" s="48"/>
      <c r="S63" s="48"/>
      <c r="T63" s="399"/>
      <c r="U63" s="398"/>
    </row>
    <row r="64" spans="1:21" x14ac:dyDescent="0.3">
      <c r="A64" s="7" t="s">
        <v>49</v>
      </c>
      <c r="B64" s="7"/>
      <c r="C64" s="4" t="s">
        <v>3</v>
      </c>
      <c r="D64" s="7"/>
      <c r="E64" s="7"/>
      <c r="F64" s="9"/>
      <c r="G64" s="9"/>
      <c r="H64" s="9"/>
      <c r="I64" s="9"/>
      <c r="J64" s="9"/>
      <c r="K64" s="9"/>
      <c r="L64" s="9"/>
      <c r="M64" s="9"/>
      <c r="N64" s="9"/>
      <c r="O64" s="43"/>
      <c r="P64" s="49"/>
      <c r="Q64" s="49"/>
      <c r="R64" s="48"/>
      <c r="S64" s="48"/>
      <c r="T64" s="247" t="s">
        <v>139</v>
      </c>
      <c r="U64" s="247" t="s">
        <v>141</v>
      </c>
    </row>
    <row r="65" spans="1:20" x14ac:dyDescent="0.3">
      <c r="A65" s="4" t="s">
        <v>32</v>
      </c>
      <c r="B65" s="4"/>
      <c r="C65" s="4"/>
      <c r="D65" s="4" t="s">
        <v>104</v>
      </c>
      <c r="E65" s="4">
        <v>0.19</v>
      </c>
      <c r="F65" s="6"/>
      <c r="G65" s="6"/>
      <c r="H65" s="6"/>
      <c r="I65" s="6"/>
      <c r="J65" s="6"/>
      <c r="K65" s="10"/>
      <c r="L65" s="1">
        <f>E65</f>
        <v>0.19</v>
      </c>
      <c r="M65" s="11"/>
      <c r="N65" s="11"/>
      <c r="O65" s="11"/>
      <c r="P65" s="49"/>
      <c r="Q65" s="49"/>
      <c r="R65" s="48"/>
      <c r="S65" s="48"/>
      <c r="T65" s="24"/>
    </row>
    <row r="66" spans="1:20" x14ac:dyDescent="0.3">
      <c r="A66" s="4"/>
      <c r="B66" s="4"/>
      <c r="C66" s="4"/>
      <c r="D66" s="4"/>
      <c r="E66" s="4"/>
      <c r="F66" s="6"/>
      <c r="G66" s="6"/>
      <c r="H66" s="6"/>
      <c r="I66" s="6"/>
      <c r="J66" s="6"/>
      <c r="K66" s="6"/>
      <c r="L66" s="6"/>
      <c r="M66" s="11"/>
      <c r="N66" s="11"/>
      <c r="O66" s="11"/>
      <c r="P66" s="49"/>
      <c r="Q66" s="49"/>
      <c r="R66" s="48"/>
      <c r="S66" s="48"/>
    </row>
    <row r="67" spans="1:20" x14ac:dyDescent="0.3">
      <c r="A67" s="4" t="s">
        <v>33</v>
      </c>
      <c r="B67" s="4"/>
      <c r="C67" s="4"/>
      <c r="D67" s="4" t="s">
        <v>104</v>
      </c>
      <c r="E67" s="4">
        <v>0.19</v>
      </c>
      <c r="F67" s="6"/>
      <c r="G67" s="6"/>
      <c r="H67" s="6"/>
      <c r="I67" s="6"/>
      <c r="J67" s="6"/>
      <c r="K67" s="10"/>
      <c r="L67" s="1">
        <f>E67</f>
        <v>0.19</v>
      </c>
      <c r="M67" s="11"/>
      <c r="N67" s="11"/>
      <c r="O67" s="11"/>
      <c r="P67" s="49"/>
      <c r="Q67" s="49"/>
      <c r="R67" s="48"/>
      <c r="S67" s="48"/>
      <c r="T67" s="24"/>
    </row>
    <row r="68" spans="1:20" x14ac:dyDescent="0.3">
      <c r="A68" s="4"/>
      <c r="B68" s="4"/>
      <c r="C68" s="4"/>
      <c r="D68" s="4"/>
      <c r="E68" s="4"/>
      <c r="F68" s="6"/>
      <c r="G68" s="6"/>
      <c r="H68" s="6"/>
      <c r="I68" s="6"/>
      <c r="J68" s="6"/>
      <c r="K68" s="6"/>
      <c r="L68" s="6"/>
      <c r="M68" s="11"/>
      <c r="N68" s="11"/>
      <c r="O68" s="11"/>
      <c r="P68" s="49"/>
      <c r="Q68" s="49"/>
      <c r="R68" s="48"/>
      <c r="S68" s="48"/>
    </row>
    <row r="69" spans="1:20" x14ac:dyDescent="0.3">
      <c r="A69" s="4" t="s">
        <v>34</v>
      </c>
      <c r="B69" s="4"/>
      <c r="C69" s="4"/>
      <c r="D69" s="4" t="s">
        <v>104</v>
      </c>
      <c r="E69" s="4">
        <v>0.13</v>
      </c>
      <c r="F69" s="6"/>
      <c r="G69" s="6"/>
      <c r="H69" s="6"/>
      <c r="I69" s="6"/>
      <c r="J69" s="6"/>
      <c r="K69" s="10"/>
      <c r="L69" s="1">
        <f>E69</f>
        <v>0.13</v>
      </c>
      <c r="M69" s="11"/>
      <c r="N69" s="11"/>
      <c r="O69" s="11"/>
      <c r="P69" s="49"/>
      <c r="Q69" s="49"/>
      <c r="R69" s="48"/>
      <c r="S69" s="48"/>
      <c r="T69" s="24"/>
    </row>
    <row r="70" spans="1:20" x14ac:dyDescent="0.3">
      <c r="A70" s="4"/>
      <c r="B70" s="4"/>
      <c r="C70" s="4"/>
      <c r="D70" s="4"/>
      <c r="E70" s="4"/>
      <c r="F70" s="6"/>
      <c r="G70" s="6"/>
      <c r="H70" s="6"/>
      <c r="I70" s="6"/>
      <c r="J70" s="6"/>
      <c r="K70" s="6"/>
      <c r="L70" s="6"/>
      <c r="M70" s="11"/>
      <c r="N70" s="11"/>
      <c r="O70" s="11"/>
      <c r="P70" s="49"/>
      <c r="Q70" s="49"/>
      <c r="R70" s="48"/>
      <c r="S70" s="48"/>
    </row>
    <row r="71" spans="1:20" ht="28.8" x14ac:dyDescent="0.3">
      <c r="A71" s="60" t="s">
        <v>114</v>
      </c>
      <c r="B71" s="4"/>
      <c r="C71" s="4"/>
      <c r="D71" s="4" t="s">
        <v>107</v>
      </c>
      <c r="E71" s="4">
        <v>1.36</v>
      </c>
      <c r="F71" s="6"/>
      <c r="G71" s="6"/>
      <c r="H71" s="6"/>
      <c r="I71" s="6"/>
      <c r="J71" s="10"/>
      <c r="K71" s="2">
        <f>E71</f>
        <v>1.36</v>
      </c>
      <c r="L71" s="6"/>
      <c r="M71" s="11"/>
      <c r="N71" s="11"/>
      <c r="O71" s="11"/>
      <c r="P71" s="71" t="s">
        <v>181</v>
      </c>
      <c r="Q71" s="53" t="s">
        <v>182</v>
      </c>
      <c r="R71" s="71" t="s">
        <v>465</v>
      </c>
      <c r="S71" s="48"/>
      <c r="T71" s="35" t="s">
        <v>277</v>
      </c>
    </row>
    <row r="72" spans="1:20" x14ac:dyDescent="0.3">
      <c r="A72" s="4"/>
      <c r="B72" s="4"/>
      <c r="C72" s="4"/>
      <c r="D72" s="4"/>
      <c r="E72" s="4"/>
      <c r="F72" s="6"/>
      <c r="G72" s="6"/>
      <c r="H72" s="6"/>
      <c r="I72" s="6"/>
      <c r="J72" s="6"/>
      <c r="K72" s="6"/>
      <c r="L72" s="6"/>
      <c r="M72" s="11"/>
      <c r="N72" s="11"/>
      <c r="O72" s="11"/>
      <c r="P72" s="49"/>
      <c r="Q72" s="49"/>
      <c r="R72" s="48"/>
      <c r="S72" s="48"/>
    </row>
    <row r="73" spans="1:20" x14ac:dyDescent="0.3">
      <c r="A73" s="4" t="s">
        <v>36</v>
      </c>
      <c r="B73" s="4"/>
      <c r="C73" s="4"/>
      <c r="D73" s="4" t="s">
        <v>104</v>
      </c>
      <c r="E73" s="4">
        <v>0.27</v>
      </c>
      <c r="F73" s="6"/>
      <c r="G73" s="6"/>
      <c r="H73" s="6"/>
      <c r="I73" s="6"/>
      <c r="J73" s="6"/>
      <c r="K73" s="10"/>
      <c r="L73" s="1">
        <f>E73</f>
        <v>0.27</v>
      </c>
      <c r="M73" s="11"/>
      <c r="N73" s="11"/>
      <c r="O73" s="11"/>
      <c r="P73" s="49"/>
      <c r="Q73" s="49"/>
      <c r="R73" s="48"/>
      <c r="S73" s="48"/>
      <c r="T73" s="24"/>
    </row>
    <row r="74" spans="1:20" x14ac:dyDescent="0.3">
      <c r="A74" s="4"/>
      <c r="B74" s="4"/>
      <c r="C74" s="4"/>
      <c r="D74" s="4"/>
      <c r="E74" s="4"/>
      <c r="F74" s="6"/>
      <c r="G74" s="6"/>
      <c r="H74" s="6"/>
      <c r="I74" s="6"/>
      <c r="J74" s="6"/>
      <c r="K74" s="6"/>
      <c r="L74" s="6"/>
      <c r="M74" s="11"/>
      <c r="N74" s="11"/>
      <c r="O74" s="11"/>
      <c r="P74" s="49"/>
      <c r="Q74" s="49"/>
      <c r="R74" s="48"/>
      <c r="S74" s="48"/>
    </row>
    <row r="75" spans="1:20" x14ac:dyDescent="0.3">
      <c r="A75" s="4" t="s">
        <v>37</v>
      </c>
      <c r="B75" s="4"/>
      <c r="C75" s="4"/>
      <c r="D75" s="4" t="s">
        <v>104</v>
      </c>
      <c r="E75" s="4">
        <v>0.13</v>
      </c>
      <c r="F75" s="6"/>
      <c r="G75" s="6"/>
      <c r="H75" s="6"/>
      <c r="I75" s="6"/>
      <c r="J75" s="6"/>
      <c r="K75" s="10"/>
      <c r="L75" s="1">
        <f>E75</f>
        <v>0.13</v>
      </c>
      <c r="M75" s="11"/>
      <c r="N75" s="11"/>
      <c r="O75" s="11"/>
      <c r="P75" s="49"/>
      <c r="Q75" s="49"/>
      <c r="R75" s="48"/>
      <c r="S75" s="48"/>
      <c r="T75" s="24"/>
    </row>
    <row r="76" spans="1:20" x14ac:dyDescent="0.3">
      <c r="A76" s="4"/>
      <c r="B76" s="4"/>
      <c r="C76" s="4"/>
      <c r="D76" s="4"/>
      <c r="E76" s="4"/>
      <c r="F76" s="6"/>
      <c r="G76" s="6"/>
      <c r="H76" s="6"/>
      <c r="I76" s="6"/>
      <c r="J76" s="6"/>
      <c r="K76" s="6"/>
      <c r="L76" s="6"/>
      <c r="M76" s="11"/>
      <c r="N76" s="11"/>
      <c r="O76" s="11"/>
      <c r="P76" s="49"/>
      <c r="Q76" s="49"/>
      <c r="R76" s="48"/>
      <c r="S76" s="48"/>
    </row>
    <row r="77" spans="1:20" ht="36" x14ac:dyDescent="0.3">
      <c r="A77" s="60" t="s">
        <v>115</v>
      </c>
      <c r="B77" s="4"/>
      <c r="C77" s="4"/>
      <c r="D77" s="4" t="s">
        <v>107</v>
      </c>
      <c r="E77" s="4">
        <v>1.36</v>
      </c>
      <c r="F77" s="6"/>
      <c r="G77" s="6"/>
      <c r="H77" s="6"/>
      <c r="I77" s="6"/>
      <c r="J77" s="10"/>
      <c r="K77" s="2">
        <f>E77</f>
        <v>1.36</v>
      </c>
      <c r="L77" s="6"/>
      <c r="M77" s="11"/>
      <c r="N77" s="11"/>
      <c r="O77" s="11"/>
      <c r="P77" s="71" t="s">
        <v>800</v>
      </c>
      <c r="Q77" s="285" t="s">
        <v>467</v>
      </c>
      <c r="R77" s="48"/>
      <c r="S77" s="48"/>
      <c r="T77" s="24" t="s">
        <v>230</v>
      </c>
    </row>
    <row r="78" spans="1:20" x14ac:dyDescent="0.3">
      <c r="A78" s="4"/>
      <c r="B78" s="4"/>
      <c r="C78" s="4"/>
      <c r="D78" s="4"/>
      <c r="E78" s="4"/>
      <c r="F78" s="6"/>
      <c r="G78" s="6"/>
      <c r="H78" s="6"/>
      <c r="I78" s="6"/>
      <c r="J78" s="6"/>
      <c r="K78" s="6"/>
      <c r="L78" s="6"/>
      <c r="M78" s="11"/>
      <c r="N78" s="11"/>
      <c r="O78" s="11"/>
      <c r="P78" s="49"/>
      <c r="Q78" s="49"/>
      <c r="R78" s="48"/>
      <c r="S78" s="48"/>
    </row>
    <row r="79" spans="1:20" x14ac:dyDescent="0.3">
      <c r="A79" s="4" t="s">
        <v>39</v>
      </c>
      <c r="B79" s="4"/>
      <c r="C79" s="4"/>
      <c r="D79" s="4" t="s">
        <v>104</v>
      </c>
      <c r="E79" s="4">
        <v>0.27</v>
      </c>
      <c r="F79" s="6"/>
      <c r="G79" s="6"/>
      <c r="H79" s="6"/>
      <c r="I79" s="6"/>
      <c r="J79" s="6"/>
      <c r="K79" s="10"/>
      <c r="L79" s="1">
        <f>E79</f>
        <v>0.27</v>
      </c>
      <c r="M79" s="11"/>
      <c r="N79" s="11"/>
      <c r="O79" s="11"/>
      <c r="P79" s="49"/>
      <c r="Q79" s="49"/>
      <c r="R79" s="48"/>
      <c r="S79" s="48"/>
      <c r="T79" s="24"/>
    </row>
    <row r="80" spans="1:20" x14ac:dyDescent="0.3">
      <c r="A80" s="4"/>
      <c r="B80" s="4"/>
      <c r="C80" s="4"/>
      <c r="D80" s="4"/>
      <c r="E80" s="4"/>
      <c r="F80" s="6"/>
      <c r="G80" s="6"/>
      <c r="H80" s="6"/>
      <c r="I80" s="6"/>
      <c r="J80" s="6"/>
      <c r="K80" s="6"/>
      <c r="L80" s="6"/>
      <c r="M80" s="11"/>
      <c r="N80" s="11"/>
      <c r="O80" s="11"/>
      <c r="P80" s="49"/>
      <c r="Q80" s="49"/>
      <c r="R80" s="48"/>
      <c r="S80" s="48"/>
    </row>
    <row r="81" spans="1:20" x14ac:dyDescent="0.3">
      <c r="A81" s="4" t="s">
        <v>40</v>
      </c>
      <c r="B81" s="4"/>
      <c r="C81" s="4"/>
      <c r="D81" s="4" t="s">
        <v>104</v>
      </c>
      <c r="E81" s="4">
        <v>0.13</v>
      </c>
      <c r="F81" s="6"/>
      <c r="G81" s="6"/>
      <c r="H81" s="6"/>
      <c r="I81" s="6"/>
      <c r="J81" s="6"/>
      <c r="K81" s="10"/>
      <c r="L81" s="1">
        <f>E81</f>
        <v>0.13</v>
      </c>
      <c r="M81" s="11"/>
      <c r="N81" s="11"/>
      <c r="O81" s="11"/>
      <c r="P81" s="49"/>
      <c r="Q81" s="49"/>
      <c r="R81" s="48"/>
      <c r="S81" s="48"/>
      <c r="T81" s="24"/>
    </row>
    <row r="82" spans="1:20" x14ac:dyDescent="0.3">
      <c r="A82" s="4"/>
      <c r="B82" s="4"/>
      <c r="C82" s="4"/>
      <c r="D82" s="4"/>
      <c r="E82" s="4"/>
      <c r="F82" s="6"/>
      <c r="G82" s="6"/>
      <c r="H82" s="6"/>
      <c r="I82" s="6"/>
      <c r="J82" s="6"/>
      <c r="K82" s="6"/>
      <c r="L82" s="6"/>
      <c r="M82" s="11"/>
      <c r="N82" s="11"/>
      <c r="O82" s="11"/>
      <c r="P82" s="49"/>
      <c r="Q82" s="49"/>
      <c r="R82" s="48"/>
      <c r="S82" s="48"/>
    </row>
    <row r="83" spans="1:20" x14ac:dyDescent="0.3">
      <c r="A83" s="4" t="s">
        <v>41</v>
      </c>
      <c r="B83" s="4"/>
      <c r="C83" s="4"/>
      <c r="D83" s="4" t="s">
        <v>104</v>
      </c>
      <c r="E83" s="4">
        <v>0.13</v>
      </c>
      <c r="F83" s="6"/>
      <c r="G83" s="6"/>
      <c r="H83" s="6"/>
      <c r="I83" s="6"/>
      <c r="J83" s="6"/>
      <c r="K83" s="10"/>
      <c r="L83" s="1">
        <f>E83</f>
        <v>0.13</v>
      </c>
      <c r="M83" s="11"/>
      <c r="N83" s="11"/>
      <c r="O83" s="11"/>
      <c r="P83" s="49"/>
      <c r="Q83" s="49"/>
      <c r="R83" s="48"/>
      <c r="S83" s="48"/>
      <c r="T83" s="24"/>
    </row>
    <row r="84" spans="1:20" x14ac:dyDescent="0.3">
      <c r="A84" s="4"/>
      <c r="B84" s="4"/>
      <c r="C84" s="4"/>
      <c r="D84" s="4"/>
      <c r="E84" s="4"/>
      <c r="F84" s="6"/>
      <c r="G84" s="6"/>
      <c r="H84" s="6"/>
      <c r="I84" s="6"/>
      <c r="J84" s="6"/>
      <c r="K84" s="6"/>
      <c r="L84" s="6"/>
      <c r="M84" s="11"/>
      <c r="N84" s="11"/>
      <c r="O84" s="11"/>
      <c r="P84" s="49"/>
      <c r="Q84" s="49"/>
      <c r="R84" s="48"/>
      <c r="S84" s="48"/>
    </row>
    <row r="85" spans="1:20" x14ac:dyDescent="0.3">
      <c r="A85" s="4" t="s">
        <v>42</v>
      </c>
      <c r="B85" s="4"/>
      <c r="C85" s="4"/>
      <c r="D85" s="4" t="s">
        <v>104</v>
      </c>
      <c r="E85" s="4">
        <v>0.19</v>
      </c>
      <c r="F85" s="6"/>
      <c r="G85" s="6"/>
      <c r="H85" s="6"/>
      <c r="I85" s="6"/>
      <c r="J85" s="6"/>
      <c r="K85" s="10"/>
      <c r="L85" s="1">
        <f>E85</f>
        <v>0.19</v>
      </c>
      <c r="M85" s="11"/>
      <c r="N85" s="11"/>
      <c r="O85" s="11"/>
      <c r="P85" s="49"/>
      <c r="Q85" s="49"/>
      <c r="R85" s="48"/>
      <c r="S85" s="48"/>
      <c r="T85" s="24"/>
    </row>
    <row r="86" spans="1:20" x14ac:dyDescent="0.3">
      <c r="A86" s="4"/>
      <c r="B86" s="4"/>
      <c r="C86" s="4"/>
      <c r="D86" s="4"/>
      <c r="E86" s="4"/>
      <c r="F86" s="6"/>
      <c r="G86" s="6"/>
      <c r="H86" s="6"/>
      <c r="I86" s="6"/>
      <c r="J86" s="6"/>
      <c r="K86" s="6"/>
      <c r="L86" s="6"/>
      <c r="M86" s="11"/>
      <c r="N86" s="11"/>
      <c r="O86" s="11"/>
      <c r="P86" s="49"/>
      <c r="Q86" s="49"/>
      <c r="R86" s="48"/>
      <c r="S86" s="48"/>
    </row>
    <row r="87" spans="1:20" x14ac:dyDescent="0.3">
      <c r="A87" s="4" t="s">
        <v>43</v>
      </c>
      <c r="B87" s="4"/>
      <c r="C87" s="4"/>
      <c r="D87" s="4" t="s">
        <v>104</v>
      </c>
      <c r="E87" s="4">
        <v>0.19</v>
      </c>
      <c r="F87" s="6"/>
      <c r="G87" s="6"/>
      <c r="H87" s="6"/>
      <c r="I87" s="6"/>
      <c r="J87" s="6"/>
      <c r="K87" s="10"/>
      <c r="L87" s="1">
        <f>E87</f>
        <v>0.19</v>
      </c>
      <c r="M87" s="11"/>
      <c r="N87" s="11"/>
      <c r="O87" s="11"/>
      <c r="P87" s="49"/>
      <c r="Q87" s="49"/>
      <c r="R87" s="48"/>
      <c r="S87" s="48"/>
      <c r="T87" s="24"/>
    </row>
    <row r="88" spans="1:20" x14ac:dyDescent="0.3">
      <c r="A88" s="4"/>
      <c r="B88" s="4"/>
      <c r="C88" s="4"/>
      <c r="D88" s="4"/>
      <c r="E88" s="4"/>
      <c r="F88" s="6"/>
      <c r="G88" s="6"/>
      <c r="H88" s="6"/>
      <c r="I88" s="6"/>
      <c r="J88" s="6"/>
      <c r="K88" s="6"/>
      <c r="L88" s="6"/>
      <c r="M88" s="11"/>
      <c r="N88" s="11"/>
      <c r="O88" s="11"/>
      <c r="P88" s="49"/>
      <c r="Q88" s="49"/>
      <c r="R88" s="48"/>
      <c r="S88" s="48"/>
    </row>
    <row r="89" spans="1:20" ht="36" x14ac:dyDescent="0.3">
      <c r="A89" s="60" t="s">
        <v>116</v>
      </c>
      <c r="B89" s="4"/>
      <c r="C89" s="4"/>
      <c r="D89" s="4" t="s">
        <v>107</v>
      </c>
      <c r="E89" s="4">
        <v>1.36</v>
      </c>
      <c r="F89" s="6"/>
      <c r="G89" s="6"/>
      <c r="H89" s="6"/>
      <c r="I89" s="6"/>
      <c r="J89" s="6"/>
      <c r="K89" s="10"/>
      <c r="L89" s="1">
        <f>E89</f>
        <v>1.36</v>
      </c>
      <c r="M89" s="11"/>
      <c r="N89" s="11"/>
      <c r="O89" s="71" t="s">
        <v>464</v>
      </c>
      <c r="P89" s="71" t="s">
        <v>800</v>
      </c>
      <c r="Q89" s="53" t="s">
        <v>183</v>
      </c>
      <c r="R89" s="71" t="s">
        <v>253</v>
      </c>
      <c r="S89" s="71" t="s">
        <v>254</v>
      </c>
      <c r="T89" s="24" t="s">
        <v>230</v>
      </c>
    </row>
    <row r="90" spans="1:20" x14ac:dyDescent="0.3">
      <c r="A90" s="4"/>
      <c r="B90" s="4"/>
      <c r="C90" s="4"/>
      <c r="D90" s="4"/>
      <c r="E90" s="4"/>
      <c r="F90" s="6"/>
      <c r="G90" s="6"/>
      <c r="H90" s="6"/>
      <c r="I90" s="6"/>
      <c r="J90" s="6"/>
      <c r="K90" s="6"/>
      <c r="L90" s="6"/>
      <c r="M90" s="11"/>
      <c r="N90" s="11"/>
      <c r="O90" s="11"/>
      <c r="P90" s="49"/>
      <c r="Q90" s="49"/>
      <c r="R90" s="48"/>
      <c r="S90" s="48"/>
    </row>
    <row r="91" spans="1:20" x14ac:dyDescent="0.3">
      <c r="A91" s="4" t="s">
        <v>45</v>
      </c>
      <c r="B91" s="4"/>
      <c r="C91" s="4"/>
      <c r="D91" s="4" t="s">
        <v>104</v>
      </c>
      <c r="E91" s="4">
        <v>0.27</v>
      </c>
      <c r="F91" s="6"/>
      <c r="G91" s="6"/>
      <c r="H91" s="6"/>
      <c r="I91" s="6"/>
      <c r="J91" s="6"/>
      <c r="K91" s="10"/>
      <c r="L91" s="1">
        <f>E91</f>
        <v>0.27</v>
      </c>
      <c r="M91" s="11"/>
      <c r="N91" s="11"/>
      <c r="O91" s="11"/>
      <c r="P91" s="49"/>
      <c r="Q91" s="49"/>
      <c r="R91" s="48"/>
      <c r="S91" s="48"/>
      <c r="T91" s="24"/>
    </row>
    <row r="92" spans="1:20" x14ac:dyDescent="0.3">
      <c r="A92" s="4"/>
      <c r="B92" s="4"/>
      <c r="C92" s="4"/>
      <c r="D92" s="4"/>
      <c r="E92" s="4"/>
      <c r="F92" s="6"/>
      <c r="G92" s="6"/>
      <c r="H92" s="6"/>
      <c r="I92" s="6"/>
      <c r="J92" s="6"/>
      <c r="K92" s="6"/>
      <c r="L92" s="6"/>
      <c r="M92" s="11"/>
      <c r="N92" s="11"/>
      <c r="O92" s="11"/>
      <c r="P92" s="49"/>
      <c r="Q92" s="49"/>
      <c r="R92" s="48"/>
      <c r="S92" s="48"/>
    </row>
    <row r="93" spans="1:20" ht="24" x14ac:dyDescent="0.3">
      <c r="A93" s="60" t="s">
        <v>117</v>
      </c>
      <c r="B93" s="4"/>
      <c r="C93" s="4"/>
      <c r="D93" s="4" t="s">
        <v>107</v>
      </c>
      <c r="E93" s="4">
        <v>1.36</v>
      </c>
      <c r="F93" s="6"/>
      <c r="G93" s="6"/>
      <c r="H93" s="6"/>
      <c r="I93" s="6"/>
      <c r="J93" s="6"/>
      <c r="K93" s="10"/>
      <c r="L93" s="1">
        <f>E93</f>
        <v>1.36</v>
      </c>
      <c r="M93" s="11"/>
      <c r="N93" s="11"/>
      <c r="O93" s="71" t="s">
        <v>464</v>
      </c>
      <c r="P93" s="71" t="s">
        <v>800</v>
      </c>
      <c r="Q93" s="53" t="s">
        <v>184</v>
      </c>
      <c r="R93" s="53" t="s">
        <v>185</v>
      </c>
      <c r="S93" s="53" t="s">
        <v>186</v>
      </c>
      <c r="T93" s="24" t="s">
        <v>230</v>
      </c>
    </row>
    <row r="94" spans="1:20" x14ac:dyDescent="0.3">
      <c r="A94" s="4"/>
      <c r="B94" s="4"/>
      <c r="C94" s="4"/>
      <c r="D94" s="4"/>
      <c r="E94" s="4"/>
      <c r="F94" s="6"/>
      <c r="G94" s="6"/>
      <c r="H94" s="6"/>
      <c r="I94" s="6"/>
      <c r="J94" s="6"/>
      <c r="K94" s="6"/>
      <c r="L94" s="6"/>
      <c r="M94" s="11"/>
      <c r="N94" s="11"/>
      <c r="O94" s="11"/>
      <c r="P94" s="49"/>
      <c r="Q94" s="49"/>
      <c r="R94" s="48"/>
      <c r="S94" s="48"/>
    </row>
    <row r="95" spans="1:20" x14ac:dyDescent="0.3">
      <c r="A95" s="4" t="s">
        <v>47</v>
      </c>
      <c r="B95" s="4"/>
      <c r="C95" s="4"/>
      <c r="D95" s="4" t="s">
        <v>104</v>
      </c>
      <c r="E95" s="4">
        <v>0.27</v>
      </c>
      <c r="F95" s="6"/>
      <c r="G95" s="6"/>
      <c r="H95" s="6"/>
      <c r="I95" s="6"/>
      <c r="J95" s="6"/>
      <c r="K95" s="10"/>
      <c r="L95" s="1">
        <f>E95</f>
        <v>0.27</v>
      </c>
      <c r="M95" s="11"/>
      <c r="N95" s="11"/>
      <c r="O95" s="11"/>
      <c r="P95" s="49"/>
      <c r="Q95" s="49"/>
      <c r="R95" s="48"/>
      <c r="S95" s="48"/>
      <c r="T95" s="24"/>
    </row>
    <row r="96" spans="1:20" x14ac:dyDescent="0.3">
      <c r="A96" s="4"/>
      <c r="B96" s="4"/>
      <c r="C96" s="4"/>
      <c r="D96" s="4"/>
      <c r="E96" s="4"/>
      <c r="F96" s="6"/>
      <c r="G96" s="6"/>
      <c r="H96" s="6"/>
      <c r="I96" s="6"/>
      <c r="J96" s="6"/>
      <c r="K96" s="6"/>
      <c r="L96" s="6"/>
      <c r="M96" s="11"/>
      <c r="N96" s="11"/>
      <c r="O96" s="11"/>
      <c r="P96" s="49"/>
      <c r="Q96" s="49"/>
      <c r="R96" s="48"/>
      <c r="S96" s="48"/>
    </row>
    <row r="97" spans="1:22" x14ac:dyDescent="0.3">
      <c r="A97" s="60" t="s">
        <v>48</v>
      </c>
      <c r="B97" s="4"/>
      <c r="C97" s="4"/>
      <c r="D97" s="4" t="s">
        <v>107</v>
      </c>
      <c r="E97" s="4">
        <v>4.6500000000000004</v>
      </c>
      <c r="F97" s="6"/>
      <c r="G97" s="6"/>
      <c r="H97" s="6"/>
      <c r="I97" s="6"/>
      <c r="J97" s="6"/>
      <c r="K97" s="10"/>
      <c r="L97" s="1">
        <f>E97</f>
        <v>4.6500000000000004</v>
      </c>
      <c r="M97" s="11"/>
      <c r="N97" s="11"/>
      <c r="O97" s="11"/>
      <c r="P97" s="49"/>
      <c r="Q97" s="49"/>
      <c r="R97" s="48"/>
      <c r="S97" s="48"/>
      <c r="T97" s="24" t="s">
        <v>311</v>
      </c>
    </row>
    <row r="98" spans="1:22" x14ac:dyDescent="0.3">
      <c r="A98" s="4"/>
      <c r="B98" s="4"/>
      <c r="C98" s="4"/>
      <c r="D98" s="4"/>
      <c r="E98" s="4"/>
      <c r="F98" s="6"/>
      <c r="G98" s="6"/>
      <c r="H98" s="6"/>
      <c r="I98" s="6"/>
      <c r="J98" s="6"/>
      <c r="K98" s="6"/>
      <c r="L98" s="6"/>
      <c r="M98" s="11"/>
      <c r="N98" s="11"/>
      <c r="O98" s="11"/>
      <c r="P98" s="49"/>
      <c r="Q98" s="49"/>
      <c r="R98" s="48"/>
      <c r="S98" s="48"/>
    </row>
    <row r="99" spans="1:22" ht="106.5" customHeight="1" x14ac:dyDescent="0.3">
      <c r="A99" s="7" t="s">
        <v>11</v>
      </c>
      <c r="B99" s="7"/>
      <c r="C99" s="4" t="s">
        <v>3</v>
      </c>
      <c r="D99" s="7"/>
      <c r="E99" s="7">
        <v>0</v>
      </c>
      <c r="F99" s="9"/>
      <c r="G99" s="9"/>
      <c r="H99" s="9"/>
      <c r="I99" s="9"/>
      <c r="J99" s="9"/>
      <c r="K99" s="9"/>
      <c r="L99" s="9"/>
      <c r="M99" s="9"/>
      <c r="N99" s="9"/>
      <c r="O99" s="43"/>
      <c r="P99" s="49"/>
      <c r="Q99" s="49"/>
      <c r="R99" s="48"/>
      <c r="S99" s="48"/>
      <c r="T99" s="247" t="s">
        <v>456</v>
      </c>
    </row>
    <row r="100" spans="1:22" x14ac:dyDescent="0.3">
      <c r="A100" s="36" t="s">
        <v>110</v>
      </c>
      <c r="B100" s="4"/>
      <c r="C100" s="4"/>
      <c r="D100" s="4" t="s">
        <v>99</v>
      </c>
      <c r="E100" s="4">
        <v>441.51</v>
      </c>
      <c r="F100" s="6"/>
      <c r="G100" s="6"/>
      <c r="H100" s="6"/>
      <c r="I100" s="11"/>
      <c r="J100" s="11"/>
      <c r="K100" s="10"/>
      <c r="L100" s="31">
        <f>E100</f>
        <v>441.51</v>
      </c>
      <c r="M100" s="11"/>
      <c r="N100" s="11"/>
      <c r="O100" s="11"/>
      <c r="P100" s="51"/>
      <c r="Q100" s="51"/>
      <c r="R100" s="48"/>
      <c r="S100" s="48"/>
    </row>
    <row r="101" spans="1:22" x14ac:dyDescent="0.3">
      <c r="A101" s="4" t="s">
        <v>144</v>
      </c>
      <c r="B101" s="4"/>
      <c r="C101" s="75" t="s">
        <v>145</v>
      </c>
      <c r="D101" s="4"/>
      <c r="E101" s="4"/>
      <c r="F101" s="6"/>
      <c r="G101" s="6"/>
      <c r="H101" s="6"/>
      <c r="I101" s="11"/>
      <c r="J101" s="11"/>
      <c r="K101" s="10"/>
      <c r="L101" s="31"/>
      <c r="M101" s="11"/>
      <c r="N101" s="11"/>
      <c r="O101" s="11"/>
      <c r="P101" s="51"/>
      <c r="Q101" s="51"/>
      <c r="R101" s="48"/>
      <c r="S101" s="48"/>
      <c r="T101" s="398" t="s">
        <v>239</v>
      </c>
      <c r="V101" s="397"/>
    </row>
    <row r="102" spans="1:22" ht="26.1" customHeight="1" x14ac:dyDescent="0.3">
      <c r="A102" s="4" t="s">
        <v>146</v>
      </c>
      <c r="B102" s="4"/>
      <c r="C102" s="76" t="s">
        <v>143</v>
      </c>
      <c r="D102" s="4"/>
      <c r="E102" s="4"/>
      <c r="F102" s="6"/>
      <c r="G102" s="6"/>
      <c r="H102" s="6"/>
      <c r="I102" s="11"/>
      <c r="J102" s="11"/>
      <c r="K102" s="10"/>
      <c r="L102" s="31"/>
      <c r="M102" s="11"/>
      <c r="N102" s="11"/>
      <c r="O102" s="11"/>
      <c r="P102" s="53" t="s">
        <v>255</v>
      </c>
      <c r="Q102" s="51"/>
      <c r="R102" s="48"/>
      <c r="S102" s="48"/>
      <c r="T102" s="398"/>
      <c r="V102" s="397"/>
    </row>
    <row r="103" spans="1:22" ht="61.35" customHeight="1" x14ac:dyDescent="0.3">
      <c r="A103" s="4" t="s">
        <v>147</v>
      </c>
      <c r="B103" s="4"/>
      <c r="C103" s="75" t="s">
        <v>145</v>
      </c>
      <c r="D103" s="4"/>
      <c r="E103" s="4"/>
      <c r="F103" s="6"/>
      <c r="G103" s="6"/>
      <c r="H103" s="6"/>
      <c r="I103" s="11"/>
      <c r="J103" s="11"/>
      <c r="K103" s="10"/>
      <c r="L103" s="31"/>
      <c r="M103" s="11"/>
      <c r="N103" s="11"/>
      <c r="O103" s="11"/>
      <c r="P103" s="318" t="s">
        <v>313</v>
      </c>
      <c r="Q103" s="53" t="s">
        <v>314</v>
      </c>
      <c r="R103" s="48"/>
      <c r="S103" s="48"/>
      <c r="T103" s="398"/>
      <c r="V103" s="397"/>
    </row>
    <row r="104" spans="1:22" x14ac:dyDescent="0.3">
      <c r="A104" s="4"/>
      <c r="B104" s="4"/>
      <c r="C104" s="4"/>
      <c r="D104" s="4"/>
      <c r="E104" s="4"/>
      <c r="F104" s="6"/>
      <c r="G104" s="6"/>
      <c r="H104" s="6"/>
      <c r="I104" s="11"/>
      <c r="J104" s="11"/>
      <c r="K104" s="10"/>
      <c r="L104" s="31"/>
      <c r="M104" s="11"/>
      <c r="N104" s="11"/>
      <c r="O104" s="11"/>
      <c r="P104" s="51"/>
      <c r="Q104" s="51"/>
      <c r="R104" s="48"/>
      <c r="S104" s="48"/>
      <c r="T104" s="398"/>
      <c r="V104" s="397"/>
    </row>
    <row r="105" spans="1:22" ht="24" x14ac:dyDescent="0.3">
      <c r="A105" s="36" t="s">
        <v>111</v>
      </c>
      <c r="B105" s="4"/>
      <c r="C105" s="75" t="s">
        <v>145</v>
      </c>
      <c r="D105" s="4" t="s">
        <v>99</v>
      </c>
      <c r="E105" s="4">
        <v>400.85</v>
      </c>
      <c r="F105" s="6"/>
      <c r="G105" s="6"/>
      <c r="H105" s="6"/>
      <c r="I105" s="11"/>
      <c r="J105" s="11"/>
      <c r="K105" s="10"/>
      <c r="L105" s="31">
        <f>E105</f>
        <v>400.85</v>
      </c>
      <c r="M105" s="11"/>
      <c r="N105" s="11"/>
      <c r="O105" s="11"/>
      <c r="P105" s="53" t="s">
        <v>187</v>
      </c>
      <c r="Q105" s="53" t="s">
        <v>188</v>
      </c>
      <c r="R105" s="48"/>
      <c r="S105" s="48"/>
      <c r="T105" s="398"/>
      <c r="V105" s="397"/>
    </row>
    <row r="106" spans="1:22" x14ac:dyDescent="0.3">
      <c r="A106" s="4"/>
      <c r="B106" s="4"/>
      <c r="C106" s="4"/>
      <c r="D106" s="4"/>
      <c r="E106" s="4"/>
      <c r="F106" s="6"/>
      <c r="G106" s="6"/>
      <c r="H106" s="6"/>
      <c r="I106" s="6"/>
      <c r="J106" s="41"/>
      <c r="K106" s="6"/>
      <c r="L106" s="11"/>
      <c r="M106" s="11"/>
      <c r="N106" s="11"/>
      <c r="O106" s="11"/>
      <c r="P106" s="49"/>
      <c r="Q106" s="49"/>
      <c r="R106" s="48"/>
      <c r="S106" s="48"/>
      <c r="T106" s="398"/>
      <c r="V106" s="397"/>
    </row>
    <row r="107" spans="1:22" x14ac:dyDescent="0.3">
      <c r="A107" s="36" t="s">
        <v>112</v>
      </c>
      <c r="B107" s="4"/>
      <c r="C107" s="75" t="s">
        <v>145</v>
      </c>
      <c r="D107" s="4" t="s">
        <v>99</v>
      </c>
      <c r="E107" s="4">
        <v>366.5</v>
      </c>
      <c r="F107" s="6"/>
      <c r="H107" s="11"/>
      <c r="J107" s="41"/>
      <c r="K107" s="6"/>
      <c r="L107" s="10"/>
      <c r="M107" s="10"/>
      <c r="N107" s="2">
        <f>E107</f>
        <v>366.5</v>
      </c>
      <c r="O107" s="11"/>
      <c r="P107" s="53" t="s">
        <v>189</v>
      </c>
      <c r="Q107" s="49"/>
      <c r="R107" s="48"/>
      <c r="S107" s="48"/>
      <c r="T107" s="398"/>
      <c r="V107" s="397"/>
    </row>
    <row r="108" spans="1:22" x14ac:dyDescent="0.3">
      <c r="A108" s="4"/>
      <c r="B108" s="4"/>
      <c r="C108" s="4"/>
      <c r="D108" s="4"/>
      <c r="E108" s="4"/>
      <c r="F108" s="6"/>
      <c r="G108" s="6"/>
      <c r="H108" s="6"/>
      <c r="I108" s="6"/>
      <c r="J108" s="41"/>
      <c r="K108" s="6"/>
      <c r="L108" s="11"/>
      <c r="M108" s="11"/>
      <c r="N108" s="11"/>
      <c r="O108" s="11"/>
      <c r="P108" s="49"/>
      <c r="Q108" s="49"/>
      <c r="R108" s="48"/>
      <c r="S108" s="48"/>
    </row>
    <row r="109" spans="1:22" ht="24" x14ac:dyDescent="0.3">
      <c r="A109" s="36" t="s">
        <v>113</v>
      </c>
      <c r="B109" s="4"/>
      <c r="C109" s="4"/>
      <c r="D109" s="4" t="s">
        <v>99</v>
      </c>
      <c r="E109" s="4">
        <v>454.3</v>
      </c>
      <c r="F109" s="6"/>
      <c r="G109" s="10"/>
      <c r="H109" s="1">
        <f>E109</f>
        <v>454.3</v>
      </c>
      <c r="I109" s="11"/>
      <c r="L109" s="11"/>
      <c r="M109" s="11"/>
      <c r="N109" s="11"/>
      <c r="O109" s="11"/>
      <c r="P109" s="53" t="s">
        <v>190</v>
      </c>
      <c r="Q109" s="49"/>
      <c r="R109" s="48"/>
      <c r="S109" s="48"/>
      <c r="T109" s="34"/>
    </row>
    <row r="110" spans="1:22" ht="37.5" customHeight="1" x14ac:dyDescent="0.3">
      <c r="A110" s="60" t="s">
        <v>148</v>
      </c>
      <c r="B110" s="4"/>
      <c r="C110" s="76" t="s">
        <v>143</v>
      </c>
      <c r="D110" s="4"/>
      <c r="E110" s="4"/>
      <c r="F110" s="6"/>
      <c r="G110" s="10"/>
      <c r="H110" s="11"/>
      <c r="I110" s="11"/>
      <c r="J110" s="121"/>
      <c r="K110" s="6"/>
      <c r="L110" s="11"/>
      <c r="M110" s="11"/>
      <c r="N110" s="11"/>
      <c r="O110" s="11"/>
      <c r="P110" s="49"/>
      <c r="Q110" s="49"/>
      <c r="R110" s="48"/>
      <c r="S110" s="48"/>
      <c r="T110" s="34" t="s">
        <v>457</v>
      </c>
      <c r="U110" s="249" t="s">
        <v>458</v>
      </c>
    </row>
    <row r="111" spans="1:22" ht="23.85" customHeight="1" x14ac:dyDescent="0.3">
      <c r="A111" s="4" t="s">
        <v>149</v>
      </c>
      <c r="B111" s="4"/>
      <c r="C111" s="75" t="s">
        <v>145</v>
      </c>
      <c r="D111" s="4"/>
      <c r="E111" s="4"/>
      <c r="F111" s="6"/>
      <c r="G111" s="10"/>
      <c r="H111" s="11"/>
      <c r="I111" s="11"/>
      <c r="J111" s="121"/>
      <c r="K111" s="6"/>
      <c r="L111" s="11"/>
      <c r="M111" s="11"/>
      <c r="N111" s="11"/>
      <c r="O111" s="11"/>
      <c r="P111" s="49"/>
      <c r="Q111" s="49"/>
      <c r="R111" s="48"/>
      <c r="S111" s="48"/>
      <c r="T111" s="34"/>
    </row>
    <row r="112" spans="1:22" x14ac:dyDescent="0.3">
      <c r="A112" s="4"/>
      <c r="B112" s="4"/>
      <c r="C112" s="4"/>
      <c r="D112" s="4"/>
      <c r="E112" s="4"/>
      <c r="F112" s="6"/>
      <c r="G112" s="6"/>
      <c r="H112" s="6"/>
      <c r="I112" s="6"/>
      <c r="J112" s="6"/>
      <c r="K112" s="6"/>
      <c r="L112" s="6"/>
      <c r="M112" s="6"/>
      <c r="N112" s="6"/>
      <c r="O112" s="41"/>
      <c r="P112" s="49"/>
      <c r="Q112" s="49"/>
      <c r="R112" s="48"/>
      <c r="S112" s="48"/>
    </row>
    <row r="113" spans="1:20" ht="28.8" x14ac:dyDescent="0.3">
      <c r="A113" s="4" t="s">
        <v>122</v>
      </c>
      <c r="B113" s="4"/>
      <c r="C113" s="4"/>
      <c r="D113" s="4" t="s">
        <v>123</v>
      </c>
      <c r="E113" s="4">
        <v>265.2</v>
      </c>
      <c r="F113" s="6"/>
      <c r="G113" s="6"/>
      <c r="H113" s="6"/>
      <c r="I113" s="6"/>
      <c r="J113" s="6"/>
      <c r="K113" s="6"/>
      <c r="L113" s="10"/>
      <c r="M113" s="10"/>
      <c r="N113" s="10"/>
      <c r="O113" s="20">
        <f>E113</f>
        <v>265.2</v>
      </c>
      <c r="P113" s="71" t="s">
        <v>191</v>
      </c>
      <c r="Q113" s="51"/>
      <c r="R113" s="48"/>
      <c r="S113" s="48"/>
    </row>
    <row r="114" spans="1:20" x14ac:dyDescent="0.3">
      <c r="A114" s="4"/>
      <c r="B114" s="4"/>
      <c r="C114" s="4"/>
      <c r="D114" s="4"/>
      <c r="E114" s="4"/>
      <c r="F114" s="6"/>
      <c r="G114" s="6"/>
      <c r="H114" s="6"/>
      <c r="I114" s="6"/>
      <c r="J114" s="6"/>
      <c r="K114" s="6"/>
      <c r="L114" s="6"/>
      <c r="M114" s="6"/>
      <c r="N114" s="6"/>
      <c r="O114" s="41"/>
      <c r="P114" s="49"/>
      <c r="Q114" s="49"/>
      <c r="R114" s="48"/>
      <c r="S114" s="48"/>
    </row>
    <row r="115" spans="1:20" x14ac:dyDescent="0.3">
      <c r="A115" s="7" t="s">
        <v>118</v>
      </c>
      <c r="B115" s="7"/>
      <c r="C115" s="4" t="s">
        <v>2</v>
      </c>
      <c r="D115" s="7" t="s">
        <v>150</v>
      </c>
      <c r="E115" s="7">
        <v>0</v>
      </c>
      <c r="F115" s="9"/>
      <c r="G115" s="9"/>
      <c r="H115" s="9"/>
      <c r="I115" s="9"/>
      <c r="J115" s="9"/>
      <c r="K115" s="9"/>
      <c r="L115" s="9"/>
      <c r="M115" s="9"/>
      <c r="N115" s="9"/>
      <c r="O115" s="43"/>
      <c r="P115" s="49"/>
      <c r="Q115" s="49"/>
      <c r="R115" s="48"/>
      <c r="S115" s="48"/>
      <c r="T115" s="30" t="s">
        <v>151</v>
      </c>
    </row>
    <row r="116" spans="1:20" x14ac:dyDescent="0.3">
      <c r="A116" s="4" t="s">
        <v>35</v>
      </c>
      <c r="B116" s="4"/>
      <c r="C116" s="4"/>
      <c r="D116" s="4" t="s">
        <v>99</v>
      </c>
      <c r="E116" s="4">
        <v>5.73</v>
      </c>
      <c r="F116" s="6"/>
      <c r="G116" s="6"/>
      <c r="H116" s="6"/>
      <c r="I116" s="6"/>
      <c r="J116" s="6"/>
      <c r="K116" s="6"/>
      <c r="L116" s="6"/>
      <c r="M116" s="6"/>
      <c r="N116" s="10"/>
      <c r="O116" s="44">
        <f>E116</f>
        <v>5.73</v>
      </c>
      <c r="P116" s="51"/>
      <c r="Q116" s="51"/>
      <c r="R116" s="48"/>
      <c r="S116" s="48"/>
    </row>
    <row r="117" spans="1:20" x14ac:dyDescent="0.3">
      <c r="A117" s="4"/>
      <c r="B117" s="4"/>
      <c r="C117" s="4"/>
      <c r="D117" s="4"/>
      <c r="E117" s="4"/>
      <c r="F117" s="6"/>
      <c r="G117" s="6"/>
      <c r="H117" s="6"/>
      <c r="I117" s="6"/>
      <c r="J117" s="6"/>
      <c r="K117" s="6"/>
      <c r="L117" s="6"/>
      <c r="M117" s="6"/>
      <c r="N117" s="6"/>
      <c r="O117" s="41"/>
      <c r="P117" s="49"/>
      <c r="Q117" s="49"/>
      <c r="R117" s="48"/>
      <c r="S117" s="48"/>
    </row>
    <row r="118" spans="1:20" x14ac:dyDescent="0.3">
      <c r="A118" s="4" t="s">
        <v>38</v>
      </c>
      <c r="B118" s="4"/>
      <c r="C118" s="4"/>
      <c r="D118" s="4" t="s">
        <v>99</v>
      </c>
      <c r="E118" s="4">
        <v>5.73</v>
      </c>
      <c r="F118" s="6"/>
      <c r="G118" s="6"/>
      <c r="H118" s="6"/>
      <c r="I118" s="6"/>
      <c r="J118" s="6"/>
      <c r="K118" s="6"/>
      <c r="L118" s="6"/>
      <c r="M118" s="6"/>
      <c r="N118" s="10"/>
      <c r="O118" s="44">
        <f>E118</f>
        <v>5.73</v>
      </c>
      <c r="P118" s="51"/>
      <c r="Q118" s="51"/>
      <c r="R118" s="48"/>
      <c r="S118" s="48"/>
    </row>
    <row r="119" spans="1:20" x14ac:dyDescent="0.3">
      <c r="A119" s="4"/>
      <c r="B119" s="4"/>
      <c r="C119" s="4"/>
      <c r="D119" s="4"/>
      <c r="E119" s="4"/>
      <c r="F119" s="6"/>
      <c r="G119" s="6"/>
      <c r="H119" s="6"/>
      <c r="I119" s="6"/>
      <c r="J119" s="6"/>
      <c r="K119" s="6"/>
      <c r="L119" s="6"/>
      <c r="M119" s="6"/>
      <c r="N119" s="6"/>
      <c r="O119" s="41"/>
      <c r="P119" s="49"/>
      <c r="Q119" s="49"/>
      <c r="R119" s="48"/>
      <c r="S119" s="48"/>
    </row>
    <row r="120" spans="1:20" x14ac:dyDescent="0.3">
      <c r="A120" s="4" t="s">
        <v>44</v>
      </c>
      <c r="B120" s="4"/>
      <c r="C120" s="4"/>
      <c r="D120" s="4" t="s">
        <v>99</v>
      </c>
      <c r="E120" s="4">
        <v>5.73</v>
      </c>
      <c r="F120" s="6"/>
      <c r="G120" s="6"/>
      <c r="H120" s="6"/>
      <c r="I120" s="6"/>
      <c r="J120" s="6"/>
      <c r="K120" s="6"/>
      <c r="L120" s="6"/>
      <c r="M120" s="6"/>
      <c r="N120" s="10"/>
      <c r="O120" s="44">
        <f>E120</f>
        <v>5.73</v>
      </c>
      <c r="P120" s="51"/>
      <c r="Q120" s="51"/>
      <c r="R120" s="48"/>
      <c r="S120" s="48"/>
    </row>
    <row r="121" spans="1:20" x14ac:dyDescent="0.3">
      <c r="A121" s="4"/>
      <c r="B121" s="4"/>
      <c r="C121" s="4"/>
      <c r="D121" s="4"/>
      <c r="E121" s="4"/>
      <c r="F121" s="6"/>
      <c r="G121" s="6"/>
      <c r="H121" s="6"/>
      <c r="I121" s="6"/>
      <c r="J121" s="6"/>
      <c r="K121" s="6"/>
      <c r="L121" s="6"/>
      <c r="M121" s="6"/>
      <c r="N121" s="6"/>
      <c r="O121" s="41"/>
      <c r="P121" s="49"/>
      <c r="Q121" s="49"/>
      <c r="R121" s="48"/>
      <c r="S121" s="48"/>
    </row>
    <row r="122" spans="1:20" x14ac:dyDescent="0.3">
      <c r="A122" s="4" t="s">
        <v>46</v>
      </c>
      <c r="B122" s="4"/>
      <c r="C122" s="4"/>
      <c r="D122" s="4" t="s">
        <v>99</v>
      </c>
      <c r="E122" s="4">
        <v>5.73</v>
      </c>
      <c r="F122" s="6"/>
      <c r="G122" s="6"/>
      <c r="H122" s="6"/>
      <c r="I122" s="6"/>
      <c r="J122" s="6"/>
      <c r="K122" s="6"/>
      <c r="L122" s="6"/>
      <c r="M122" s="6"/>
      <c r="N122" s="10"/>
      <c r="O122" s="44">
        <f>E122</f>
        <v>5.73</v>
      </c>
      <c r="P122" s="51"/>
      <c r="Q122" s="51"/>
      <c r="R122" s="48"/>
      <c r="S122" s="48"/>
    </row>
    <row r="123" spans="1:20" x14ac:dyDescent="0.3">
      <c r="A123" s="4"/>
      <c r="B123" s="4"/>
      <c r="C123" s="4"/>
      <c r="D123" s="4"/>
      <c r="E123" s="4"/>
      <c r="F123" s="6"/>
      <c r="G123" s="6"/>
      <c r="H123" s="6"/>
      <c r="I123" s="6"/>
      <c r="J123" s="6"/>
      <c r="K123" s="6"/>
      <c r="L123" s="6"/>
      <c r="M123" s="6"/>
      <c r="N123" s="6"/>
      <c r="O123" s="41"/>
      <c r="P123" s="49"/>
      <c r="Q123" s="49"/>
      <c r="R123" s="48"/>
      <c r="S123" s="48"/>
    </row>
    <row r="124" spans="1:20" x14ac:dyDescent="0.3">
      <c r="A124" s="4" t="s">
        <v>48</v>
      </c>
      <c r="B124" s="4"/>
      <c r="C124" s="4"/>
      <c r="D124" s="4" t="s">
        <v>99</v>
      </c>
      <c r="E124" s="4">
        <v>5.73</v>
      </c>
      <c r="F124" s="6"/>
      <c r="G124" s="6"/>
      <c r="H124" s="6"/>
      <c r="I124" s="6"/>
      <c r="J124" s="6"/>
      <c r="K124" s="6"/>
      <c r="L124" s="6"/>
      <c r="M124" s="6"/>
      <c r="N124" s="10"/>
      <c r="O124" s="44">
        <f>E124</f>
        <v>5.73</v>
      </c>
      <c r="P124" s="51"/>
      <c r="Q124" s="51"/>
      <c r="R124" s="48"/>
      <c r="S124" s="48"/>
    </row>
    <row r="125" spans="1:20" x14ac:dyDescent="0.3">
      <c r="A125" s="4"/>
      <c r="B125" s="4"/>
      <c r="C125" s="4"/>
      <c r="D125" s="4"/>
      <c r="E125" s="4"/>
      <c r="F125" s="6"/>
      <c r="G125" s="6"/>
      <c r="H125" s="6"/>
      <c r="I125" s="6"/>
      <c r="J125" s="6"/>
      <c r="K125" s="6"/>
      <c r="L125" s="6"/>
      <c r="M125" s="6"/>
      <c r="N125" s="6"/>
      <c r="O125" s="41"/>
      <c r="P125" s="49"/>
      <c r="Q125" s="49"/>
      <c r="R125" s="48"/>
      <c r="S125" s="48"/>
    </row>
    <row r="126" spans="1:20" ht="28.8" x14ac:dyDescent="0.3">
      <c r="A126" s="4" t="s">
        <v>97</v>
      </c>
      <c r="B126" s="4"/>
      <c r="C126" s="4" t="s">
        <v>2</v>
      </c>
      <c r="D126" s="4"/>
      <c r="E126" s="4">
        <v>22.33</v>
      </c>
      <c r="F126" s="6"/>
      <c r="G126" s="6"/>
      <c r="H126" s="6"/>
      <c r="I126" s="6"/>
      <c r="J126" s="6"/>
      <c r="K126" s="6"/>
      <c r="L126" s="6"/>
      <c r="M126" s="6"/>
      <c r="N126" s="10"/>
      <c r="O126" s="44">
        <f>E126</f>
        <v>22.33</v>
      </c>
      <c r="P126" s="51"/>
      <c r="Q126" s="51"/>
      <c r="R126" s="48"/>
      <c r="S126" s="48"/>
    </row>
    <row r="127" spans="1:20" ht="36.6" customHeight="1" x14ac:dyDescent="0.3">
      <c r="A127" s="69" t="s">
        <v>6</v>
      </c>
      <c r="B127" s="69"/>
      <c r="C127" s="74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70"/>
      <c r="P127" s="50"/>
      <c r="Q127" s="50"/>
      <c r="R127" s="48"/>
      <c r="S127" s="48"/>
    </row>
    <row r="128" spans="1:20" x14ac:dyDescent="0.3">
      <c r="A128" s="7" t="s">
        <v>4</v>
      </c>
      <c r="B128" s="7"/>
      <c r="C128" s="4" t="s">
        <v>1</v>
      </c>
      <c r="D128" s="7"/>
      <c r="E128" s="7"/>
      <c r="F128" s="9"/>
      <c r="G128" s="9"/>
      <c r="H128" s="9"/>
      <c r="I128" s="9"/>
      <c r="J128" s="9"/>
      <c r="K128" s="9"/>
      <c r="L128" s="9"/>
      <c r="M128" s="9"/>
      <c r="N128" s="9"/>
      <c r="O128" s="43"/>
      <c r="P128" s="49"/>
      <c r="Q128" s="49"/>
      <c r="R128" s="48"/>
      <c r="S128" s="48"/>
    </row>
    <row r="129" spans="1:22" x14ac:dyDescent="0.3">
      <c r="A129" s="8" t="s">
        <v>10</v>
      </c>
      <c r="B129" s="8"/>
      <c r="C129" s="4" t="s">
        <v>3</v>
      </c>
      <c r="D129" s="7"/>
      <c r="E129" s="7"/>
      <c r="F129" s="17"/>
      <c r="G129" s="17"/>
      <c r="H129" s="17"/>
      <c r="I129" s="17"/>
      <c r="J129" s="17"/>
      <c r="K129" s="17"/>
      <c r="L129" s="17"/>
      <c r="M129" s="17"/>
      <c r="N129" s="17"/>
      <c r="O129" s="45"/>
      <c r="P129" s="52"/>
      <c r="Q129" s="52"/>
      <c r="R129" s="48"/>
      <c r="S129" s="48"/>
      <c r="U129" s="247" t="s">
        <v>231</v>
      </c>
    </row>
    <row r="130" spans="1:22" ht="28.8" x14ac:dyDescent="0.3">
      <c r="A130" s="5" t="s">
        <v>52</v>
      </c>
      <c r="B130" s="1"/>
      <c r="C130" s="4"/>
      <c r="D130" s="4" t="s">
        <v>105</v>
      </c>
      <c r="E130" s="4">
        <v>5.54</v>
      </c>
      <c r="F130" s="11"/>
      <c r="G130" s="11"/>
      <c r="H130" s="11"/>
      <c r="I130" s="11"/>
      <c r="J130" s="18"/>
      <c r="K130" s="2">
        <f>E130</f>
        <v>5.54</v>
      </c>
      <c r="L130" s="11"/>
      <c r="M130" s="11"/>
      <c r="N130" s="11"/>
      <c r="O130" s="33"/>
      <c r="P130" s="71" t="s">
        <v>192</v>
      </c>
      <c r="Q130" s="52"/>
      <c r="R130" s="48"/>
      <c r="S130" s="48"/>
      <c r="T130" s="24" t="s">
        <v>309</v>
      </c>
    </row>
    <row r="131" spans="1:22" x14ac:dyDescent="0.3">
      <c r="A131" s="5"/>
      <c r="B131" s="1"/>
      <c r="C131" s="4"/>
      <c r="D131" s="4"/>
      <c r="E131" s="4"/>
      <c r="F131" s="11"/>
      <c r="G131" s="11"/>
      <c r="H131" s="11"/>
      <c r="I131" s="11"/>
      <c r="J131" s="11"/>
      <c r="K131" s="11"/>
      <c r="L131" s="11"/>
      <c r="M131" s="11"/>
      <c r="N131" s="11"/>
      <c r="O131" s="33"/>
      <c r="P131" s="52"/>
      <c r="Q131" s="52"/>
      <c r="R131" s="48"/>
      <c r="S131" s="48"/>
    </row>
    <row r="132" spans="1:22" ht="43.2" x14ac:dyDescent="0.3">
      <c r="A132" s="5" t="s">
        <v>53</v>
      </c>
      <c r="B132" s="1"/>
      <c r="C132" s="4"/>
      <c r="D132" s="4" t="s">
        <v>105</v>
      </c>
      <c r="E132" s="4">
        <v>9.0399999999999991</v>
      </c>
      <c r="F132" s="11"/>
      <c r="G132" s="11"/>
      <c r="H132" s="11"/>
      <c r="I132" s="11"/>
      <c r="J132" s="18"/>
      <c r="K132" s="2">
        <f>E132</f>
        <v>9.0399999999999991</v>
      </c>
      <c r="L132" s="11"/>
      <c r="M132" s="11"/>
      <c r="N132" s="11"/>
      <c r="O132" s="33"/>
      <c r="P132" s="71" t="s">
        <v>192</v>
      </c>
      <c r="Q132" s="71" t="s">
        <v>256</v>
      </c>
      <c r="R132" s="286" t="s">
        <v>466</v>
      </c>
      <c r="S132" s="48"/>
      <c r="T132" s="24" t="s">
        <v>310</v>
      </c>
    </row>
    <row r="133" spans="1:22" x14ac:dyDescent="0.3">
      <c r="A133" s="5"/>
      <c r="B133" s="1"/>
      <c r="C133" s="4"/>
      <c r="D133" s="4"/>
      <c r="E133" s="4"/>
      <c r="F133" s="11"/>
      <c r="G133" s="11"/>
      <c r="H133" s="11"/>
      <c r="I133" s="11"/>
      <c r="J133" s="11"/>
      <c r="K133" s="11"/>
      <c r="L133" s="11"/>
      <c r="M133" s="11"/>
      <c r="N133" s="11"/>
      <c r="O133" s="33"/>
      <c r="P133" s="52"/>
      <c r="Q133" s="52"/>
      <c r="R133" s="48"/>
      <c r="S133" s="48"/>
    </row>
    <row r="134" spans="1:22" ht="28.8" x14ac:dyDescent="0.3">
      <c r="A134" s="5" t="s">
        <v>54</v>
      </c>
      <c r="B134" s="1"/>
      <c r="C134" s="4"/>
      <c r="D134" s="4" t="s">
        <v>105</v>
      </c>
      <c r="E134" s="4">
        <v>0.32</v>
      </c>
      <c r="F134" s="11"/>
      <c r="G134" s="11"/>
      <c r="H134" s="11"/>
      <c r="I134" s="11"/>
      <c r="J134" s="11"/>
      <c r="K134" s="11"/>
      <c r="L134" s="11"/>
      <c r="M134" s="18"/>
      <c r="N134" s="2">
        <f>E134</f>
        <v>0.32</v>
      </c>
      <c r="O134" s="33"/>
      <c r="P134" s="52"/>
      <c r="Q134" s="52"/>
      <c r="R134" s="48"/>
      <c r="S134" s="48"/>
      <c r="T134" s="24" t="s">
        <v>241</v>
      </c>
    </row>
    <row r="135" spans="1:22" ht="16.350000000000001" customHeight="1" x14ac:dyDescent="0.3">
      <c r="A135" s="5"/>
      <c r="B135" s="1"/>
      <c r="C135" s="4"/>
      <c r="D135" s="4"/>
      <c r="E135" s="4"/>
      <c r="F135" s="11"/>
      <c r="G135" s="11"/>
      <c r="H135" s="11"/>
      <c r="I135" s="11"/>
      <c r="J135" s="11"/>
      <c r="K135" s="11"/>
      <c r="L135" s="11"/>
      <c r="M135" s="11"/>
      <c r="N135" s="11"/>
      <c r="O135" s="33"/>
      <c r="P135" s="52"/>
      <c r="Q135" s="52"/>
      <c r="R135" s="48"/>
      <c r="S135" s="48"/>
    </row>
    <row r="136" spans="1:22" ht="41.1" customHeight="1" x14ac:dyDescent="0.3">
      <c r="A136" s="5" t="s">
        <v>55</v>
      </c>
      <c r="B136" s="1" t="s">
        <v>51</v>
      </c>
      <c r="C136" s="4"/>
      <c r="D136" s="4" t="s">
        <v>105</v>
      </c>
      <c r="E136" s="4">
        <v>5.7</v>
      </c>
      <c r="F136" s="11"/>
      <c r="G136" s="11"/>
      <c r="H136" s="11"/>
      <c r="I136" s="18"/>
      <c r="J136" s="2">
        <f>E136</f>
        <v>5.7</v>
      </c>
      <c r="K136" s="11"/>
      <c r="L136" s="11"/>
      <c r="M136" s="11"/>
      <c r="N136" s="11"/>
      <c r="O136" s="33"/>
      <c r="P136" s="53" t="s">
        <v>193</v>
      </c>
      <c r="Q136" s="52"/>
      <c r="R136" s="48"/>
      <c r="S136" s="48"/>
      <c r="T136" s="408" t="s">
        <v>317</v>
      </c>
      <c r="U136" s="398" t="s">
        <v>232</v>
      </c>
    </row>
    <row r="137" spans="1:22" ht="18" customHeight="1" x14ac:dyDescent="0.3">
      <c r="A137" s="5"/>
      <c r="B137" s="1"/>
      <c r="C137" s="4"/>
      <c r="D137" s="4"/>
      <c r="E137" s="4"/>
      <c r="F137" s="11"/>
      <c r="G137" s="11"/>
      <c r="H137" s="11"/>
      <c r="I137" s="11"/>
      <c r="J137" s="11"/>
      <c r="K137" s="11"/>
      <c r="L137" s="11"/>
      <c r="M137" s="11"/>
      <c r="N137" s="11"/>
      <c r="O137" s="33"/>
      <c r="P137" s="52"/>
      <c r="Q137" s="52"/>
      <c r="R137" s="48"/>
      <c r="S137" s="48"/>
      <c r="T137" s="408"/>
      <c r="U137" s="398"/>
    </row>
    <row r="138" spans="1:22" ht="35.4" customHeight="1" x14ac:dyDescent="0.3">
      <c r="A138" s="5" t="s">
        <v>56</v>
      </c>
      <c r="B138" s="1"/>
      <c r="C138" s="4"/>
      <c r="D138" s="4" t="s">
        <v>105</v>
      </c>
      <c r="E138" s="4">
        <v>7.07</v>
      </c>
      <c r="F138" s="11"/>
      <c r="G138" s="11"/>
      <c r="H138" s="11"/>
      <c r="I138" s="18"/>
      <c r="J138" s="2">
        <f>E138</f>
        <v>7.07</v>
      </c>
      <c r="K138" s="11"/>
      <c r="L138" s="11"/>
      <c r="M138" s="11"/>
      <c r="N138" s="11"/>
      <c r="O138" s="33"/>
      <c r="P138" s="53" t="s">
        <v>220</v>
      </c>
      <c r="Q138" s="71" t="s">
        <v>194</v>
      </c>
      <c r="R138" s="53" t="s">
        <v>195</v>
      </c>
      <c r="S138" s="53"/>
      <c r="T138" s="408"/>
      <c r="U138" s="398"/>
    </row>
    <row r="139" spans="1:22" ht="18" customHeight="1" x14ac:dyDescent="0.3">
      <c r="A139" s="5"/>
      <c r="B139" s="1"/>
      <c r="C139" s="4"/>
      <c r="D139" s="4"/>
      <c r="E139" s="4"/>
      <c r="F139" s="11"/>
      <c r="G139" s="11"/>
      <c r="H139" s="11"/>
      <c r="I139" s="11"/>
      <c r="J139" s="11"/>
      <c r="K139" s="11"/>
      <c r="L139" s="11"/>
      <c r="M139" s="11"/>
      <c r="N139" s="11"/>
      <c r="O139" s="33"/>
      <c r="P139" s="52"/>
      <c r="Q139" s="52"/>
      <c r="R139" s="48"/>
      <c r="S139" s="48"/>
      <c r="T139" s="408"/>
      <c r="U139" s="398"/>
    </row>
    <row r="140" spans="1:22" ht="95.4" customHeight="1" x14ac:dyDescent="0.3">
      <c r="A140" s="5" t="s">
        <v>57</v>
      </c>
      <c r="B140" s="1"/>
      <c r="C140" s="4"/>
      <c r="D140" s="4" t="s">
        <v>105</v>
      </c>
      <c r="E140" s="4">
        <v>0.4</v>
      </c>
      <c r="F140" s="11"/>
      <c r="G140" s="11"/>
      <c r="H140" s="11"/>
      <c r="I140" s="11"/>
      <c r="J140" s="11"/>
      <c r="K140" s="11"/>
      <c r="L140" s="11"/>
      <c r="M140" s="18"/>
      <c r="N140" s="2">
        <f>E140</f>
        <v>0.4</v>
      </c>
      <c r="O140" s="33"/>
      <c r="P140" s="52"/>
      <c r="Q140" s="52"/>
      <c r="R140" s="48"/>
      <c r="S140" s="48"/>
      <c r="T140" s="408"/>
      <c r="U140" s="249" t="s">
        <v>229</v>
      </c>
      <c r="V140" s="119" t="s">
        <v>459</v>
      </c>
    </row>
    <row r="141" spans="1:22" ht="32.4" customHeight="1" x14ac:dyDescent="0.3">
      <c r="A141" s="5"/>
      <c r="B141" s="1"/>
      <c r="C141" s="4"/>
      <c r="D141" s="4"/>
      <c r="E141" s="4"/>
      <c r="F141" s="11"/>
      <c r="G141" s="11"/>
      <c r="H141" s="11"/>
      <c r="I141" s="11"/>
      <c r="J141" s="11"/>
      <c r="K141" s="11"/>
      <c r="L141" s="11"/>
      <c r="M141" s="11"/>
      <c r="N141" s="11"/>
      <c r="O141" s="33"/>
      <c r="P141" s="52"/>
      <c r="Q141" s="52"/>
      <c r="R141" s="48"/>
      <c r="S141" s="48"/>
    </row>
    <row r="142" spans="1:22" ht="129.6" x14ac:dyDescent="0.3">
      <c r="A142" s="64" t="s">
        <v>58</v>
      </c>
      <c r="B142" s="1" t="s">
        <v>51</v>
      </c>
      <c r="C142" s="4"/>
      <c r="D142" s="4" t="s">
        <v>105</v>
      </c>
      <c r="E142" s="4">
        <v>18.46</v>
      </c>
      <c r="F142" s="11"/>
      <c r="G142" s="11"/>
      <c r="H142" s="11"/>
      <c r="I142" s="11"/>
      <c r="J142" s="18"/>
      <c r="K142" s="2">
        <f>E142</f>
        <v>18.46</v>
      </c>
      <c r="L142" s="11"/>
      <c r="M142" s="11"/>
      <c r="N142" s="11"/>
      <c r="O142" s="33"/>
      <c r="P142" s="71" t="s">
        <v>196</v>
      </c>
      <c r="Q142" s="71" t="s">
        <v>192</v>
      </c>
      <c r="R142" s="71" t="s">
        <v>221</v>
      </c>
      <c r="S142" s="53"/>
      <c r="T142" s="247" t="s">
        <v>318</v>
      </c>
      <c r="U142" s="247" t="s">
        <v>131</v>
      </c>
    </row>
    <row r="143" spans="1:22" x14ac:dyDescent="0.3">
      <c r="A143" s="5"/>
      <c r="B143" s="1"/>
      <c r="C143" s="4"/>
      <c r="D143" s="4"/>
      <c r="E143" s="4"/>
      <c r="F143" s="11"/>
      <c r="G143" s="11"/>
      <c r="H143" s="11"/>
      <c r="I143" s="11"/>
      <c r="J143" s="11"/>
      <c r="K143" s="11"/>
      <c r="L143" s="11"/>
      <c r="M143" s="11"/>
      <c r="N143" s="11"/>
      <c r="O143" s="33"/>
      <c r="P143" s="52"/>
      <c r="Q143" s="52"/>
      <c r="R143" s="48"/>
      <c r="S143" s="48"/>
    </row>
    <row r="144" spans="1:22" x14ac:dyDescent="0.3">
      <c r="A144" s="8" t="s">
        <v>11</v>
      </c>
      <c r="B144" s="8"/>
      <c r="C144" s="4" t="s">
        <v>3</v>
      </c>
      <c r="D144" s="7"/>
      <c r="E144" s="7"/>
      <c r="F144" s="17"/>
      <c r="G144" s="17"/>
      <c r="H144" s="17"/>
      <c r="I144" s="17"/>
      <c r="J144" s="17"/>
      <c r="K144" s="17"/>
      <c r="L144" s="17"/>
      <c r="M144" s="17"/>
      <c r="N144" s="17"/>
      <c r="O144" s="45"/>
      <c r="P144" s="52"/>
      <c r="Q144" s="52"/>
      <c r="R144" s="48"/>
      <c r="S144" s="48"/>
    </row>
    <row r="145" spans="1:20" ht="43.2" x14ac:dyDescent="0.3">
      <c r="A145" s="1" t="s">
        <v>103</v>
      </c>
      <c r="B145" s="1"/>
      <c r="C145" s="75" t="s">
        <v>145</v>
      </c>
      <c r="D145" s="4" t="s">
        <v>99</v>
      </c>
      <c r="E145" s="4">
        <v>208.28</v>
      </c>
      <c r="F145" s="11"/>
      <c r="G145" s="18"/>
      <c r="H145" s="18"/>
      <c r="I145" s="2">
        <f>E145</f>
        <v>208.28</v>
      </c>
      <c r="J145" s="11"/>
      <c r="L145" s="11"/>
      <c r="N145" s="11"/>
      <c r="O145" s="33"/>
      <c r="P145" s="53" t="s">
        <v>187</v>
      </c>
      <c r="Q145" s="71" t="s">
        <v>197</v>
      </c>
      <c r="R145" s="53" t="s">
        <v>198</v>
      </c>
      <c r="S145" s="53"/>
      <c r="T145" s="247" t="s">
        <v>272</v>
      </c>
    </row>
    <row r="146" spans="1:20" x14ac:dyDescent="0.3">
      <c r="A146" s="1"/>
      <c r="B146" s="1"/>
      <c r="C146" s="4"/>
      <c r="D146" s="4"/>
      <c r="E146" s="4"/>
      <c r="F146" s="11"/>
      <c r="G146" s="11"/>
      <c r="H146" s="11"/>
      <c r="I146" s="11"/>
      <c r="J146" s="11"/>
      <c r="K146" s="11"/>
      <c r="L146" s="11"/>
      <c r="M146" s="11"/>
      <c r="N146" s="11"/>
      <c r="O146" s="33"/>
      <c r="P146" s="52"/>
      <c r="Q146" s="52"/>
      <c r="R146" s="48"/>
      <c r="S146" s="48"/>
      <c r="T146" s="24" t="s">
        <v>460</v>
      </c>
    </row>
    <row r="147" spans="1:20" x14ac:dyDescent="0.3">
      <c r="A147" s="1" t="s">
        <v>59</v>
      </c>
      <c r="B147" s="1"/>
      <c r="C147" s="75" t="s">
        <v>145</v>
      </c>
      <c r="D147" s="4" t="s">
        <v>99</v>
      </c>
      <c r="E147" s="4">
        <v>12.27</v>
      </c>
      <c r="F147" s="11"/>
      <c r="G147" s="11"/>
      <c r="H147" s="11"/>
      <c r="I147" s="18"/>
      <c r="J147" s="2">
        <f>E147</f>
        <v>12.27</v>
      </c>
      <c r="K147" s="11"/>
      <c r="M147" s="11"/>
      <c r="N147" s="11"/>
      <c r="O147" s="33"/>
      <c r="P147" s="52"/>
      <c r="Q147" s="52"/>
      <c r="R147" s="48"/>
      <c r="S147" s="48"/>
      <c r="T147" s="247" t="s">
        <v>132</v>
      </c>
    </row>
    <row r="148" spans="1:20" x14ac:dyDescent="0.3">
      <c r="A148" s="1"/>
      <c r="B148" s="1"/>
      <c r="C148" s="4"/>
      <c r="D148" s="4"/>
      <c r="E148" s="4"/>
      <c r="F148" s="11"/>
      <c r="G148" s="11"/>
      <c r="H148" s="11"/>
      <c r="I148" s="11"/>
      <c r="J148" s="11"/>
      <c r="K148" s="11"/>
      <c r="L148" s="11"/>
      <c r="M148" s="11"/>
      <c r="N148" s="11"/>
      <c r="O148" s="33"/>
      <c r="P148" s="52"/>
      <c r="Q148" s="52"/>
      <c r="R148" s="48"/>
      <c r="S148" s="48"/>
    </row>
    <row r="149" spans="1:20" ht="14.4" customHeight="1" x14ac:dyDescent="0.3">
      <c r="A149" s="1" t="s">
        <v>60</v>
      </c>
      <c r="B149" s="1"/>
      <c r="C149" s="75" t="s">
        <v>145</v>
      </c>
      <c r="D149" s="4" t="s">
        <v>99</v>
      </c>
      <c r="E149" s="4">
        <v>25.85</v>
      </c>
      <c r="F149" s="11"/>
      <c r="G149" s="11"/>
      <c r="I149" s="18"/>
      <c r="J149" s="2">
        <f>E149</f>
        <v>25.85</v>
      </c>
      <c r="K149" s="11"/>
      <c r="L149" s="11"/>
      <c r="N149" s="11"/>
      <c r="O149" s="33"/>
      <c r="P149" s="52"/>
      <c r="Q149" s="52"/>
      <c r="R149" s="48"/>
      <c r="S149" s="48"/>
      <c r="T149" s="398" t="s">
        <v>127</v>
      </c>
    </row>
    <row r="150" spans="1:20" ht="15.6" customHeight="1" x14ac:dyDescent="0.3">
      <c r="A150" s="1"/>
      <c r="B150" s="1"/>
      <c r="C150" s="4"/>
      <c r="D150" s="4"/>
      <c r="E150" s="4"/>
      <c r="F150" s="11"/>
      <c r="G150" s="11"/>
      <c r="H150" s="11"/>
      <c r="I150" s="11"/>
      <c r="J150" s="11"/>
      <c r="K150" s="11"/>
      <c r="L150" s="11"/>
      <c r="M150" s="11"/>
      <c r="N150" s="11"/>
      <c r="O150" s="33"/>
      <c r="P150" s="52"/>
      <c r="Q150" s="52"/>
      <c r="R150" s="48"/>
      <c r="S150" s="48"/>
      <c r="T150" s="398"/>
    </row>
    <row r="151" spans="1:20" ht="24" x14ac:dyDescent="0.3">
      <c r="A151" s="1" t="s">
        <v>122</v>
      </c>
      <c r="B151" s="1"/>
      <c r="C151" s="4"/>
      <c r="D151" s="4" t="s">
        <v>123</v>
      </c>
      <c r="E151" s="4">
        <v>39.29</v>
      </c>
      <c r="F151" s="11"/>
      <c r="G151" s="11"/>
      <c r="H151" s="11"/>
      <c r="I151" s="11"/>
      <c r="J151" s="11"/>
      <c r="K151" s="11"/>
      <c r="L151" s="18"/>
      <c r="M151" s="18"/>
      <c r="N151" s="2">
        <f>E151</f>
        <v>39.29</v>
      </c>
      <c r="O151" s="33"/>
      <c r="P151" s="53" t="s">
        <v>257</v>
      </c>
      <c r="Q151" s="52"/>
      <c r="R151" s="48"/>
      <c r="S151" s="48"/>
    </row>
    <row r="152" spans="1:20" x14ac:dyDescent="0.3">
      <c r="A152" s="1"/>
      <c r="B152" s="1"/>
      <c r="C152" s="4"/>
      <c r="D152" s="4"/>
      <c r="E152" s="4"/>
      <c r="F152" s="11"/>
      <c r="G152" s="11"/>
      <c r="H152" s="11"/>
      <c r="I152" s="11"/>
      <c r="J152" s="11"/>
      <c r="K152" s="11"/>
      <c r="L152" s="11"/>
      <c r="M152" s="11"/>
      <c r="N152" s="11"/>
      <c r="O152" s="33"/>
      <c r="P152" s="52"/>
      <c r="Q152" s="52"/>
      <c r="R152" s="48"/>
      <c r="S152" s="48"/>
    </row>
    <row r="153" spans="1:20" x14ac:dyDescent="0.3">
      <c r="A153" s="7" t="s">
        <v>50</v>
      </c>
      <c r="B153" s="7"/>
      <c r="C153" s="4" t="s">
        <v>2</v>
      </c>
      <c r="D153" s="7"/>
      <c r="E153" s="7"/>
      <c r="F153" s="17"/>
      <c r="G153" s="17"/>
      <c r="H153" s="17"/>
      <c r="I153" s="17"/>
      <c r="J153" s="17"/>
      <c r="K153" s="17"/>
      <c r="L153" s="17"/>
      <c r="M153" s="17"/>
      <c r="N153" s="17"/>
      <c r="O153" s="45"/>
      <c r="P153" s="52"/>
      <c r="Q153" s="52"/>
      <c r="R153" s="48"/>
      <c r="S153" s="48"/>
      <c r="T153" s="30" t="s">
        <v>151</v>
      </c>
    </row>
    <row r="154" spans="1:20" x14ac:dyDescent="0.3">
      <c r="A154" s="1" t="s">
        <v>52</v>
      </c>
      <c r="B154" s="1"/>
      <c r="C154" s="4"/>
      <c r="D154" s="4" t="s">
        <v>99</v>
      </c>
      <c r="E154" s="4">
        <v>5.73</v>
      </c>
      <c r="F154" s="11"/>
      <c r="G154" s="11"/>
      <c r="H154" s="11"/>
      <c r="I154" s="11"/>
      <c r="J154" s="11"/>
      <c r="K154" s="2"/>
      <c r="L154" s="11"/>
      <c r="M154" s="33"/>
      <c r="N154" s="18"/>
      <c r="O154" s="1">
        <v>5.73</v>
      </c>
      <c r="P154" s="52"/>
      <c r="Q154" s="52"/>
      <c r="R154" s="48"/>
      <c r="S154" s="48"/>
    </row>
    <row r="155" spans="1:20" x14ac:dyDescent="0.3">
      <c r="A155" s="1"/>
      <c r="B155" s="1"/>
      <c r="C155" s="4"/>
      <c r="D155" s="4"/>
      <c r="E155" s="4"/>
      <c r="F155" s="11"/>
      <c r="G155" s="11"/>
      <c r="H155" s="11"/>
      <c r="I155" s="11"/>
      <c r="J155" s="11"/>
      <c r="K155" s="11"/>
      <c r="L155" s="11"/>
      <c r="M155" s="33"/>
      <c r="N155" s="11"/>
      <c r="O155" s="33"/>
      <c r="P155" s="52"/>
      <c r="Q155" s="52"/>
      <c r="R155" s="48"/>
      <c r="S155" s="48"/>
    </row>
    <row r="156" spans="1:20" x14ac:dyDescent="0.3">
      <c r="A156" s="1" t="s">
        <v>53</v>
      </c>
      <c r="B156" s="1" t="s">
        <v>51</v>
      </c>
      <c r="C156" s="4"/>
      <c r="D156" s="4" t="s">
        <v>99</v>
      </c>
      <c r="E156" s="4">
        <v>5.73</v>
      </c>
      <c r="F156" s="11"/>
      <c r="G156" s="11"/>
      <c r="H156" s="11"/>
      <c r="I156" s="11"/>
      <c r="J156" s="11"/>
      <c r="K156" s="11"/>
      <c r="L156" s="11"/>
      <c r="N156" s="18"/>
      <c r="O156" s="2">
        <f>E156</f>
        <v>5.73</v>
      </c>
      <c r="P156" s="52"/>
      <c r="Q156" s="52"/>
      <c r="R156" s="48"/>
      <c r="S156" s="48"/>
    </row>
    <row r="157" spans="1:20" x14ac:dyDescent="0.3">
      <c r="A157" s="1"/>
      <c r="B157" s="1"/>
      <c r="C157" s="4"/>
      <c r="D157" s="4"/>
      <c r="E157" s="4"/>
      <c r="F157" s="11"/>
      <c r="G157" s="11"/>
      <c r="H157" s="11"/>
      <c r="I157" s="11"/>
      <c r="J157" s="11"/>
      <c r="K157" s="11"/>
      <c r="L157" s="11"/>
      <c r="M157" s="33"/>
      <c r="N157" s="11"/>
      <c r="O157" s="33"/>
      <c r="P157" s="52"/>
      <c r="Q157" s="52"/>
      <c r="R157" s="48"/>
      <c r="S157" s="48"/>
    </row>
    <row r="158" spans="1:20" x14ac:dyDescent="0.3">
      <c r="A158" s="1" t="s">
        <v>55</v>
      </c>
      <c r="B158" s="1"/>
      <c r="C158" s="4"/>
      <c r="D158" s="4" t="s">
        <v>99</v>
      </c>
      <c r="E158" s="4">
        <v>5.73</v>
      </c>
      <c r="F158" s="11"/>
      <c r="G158" s="11"/>
      <c r="H158" s="11"/>
      <c r="I158" s="11"/>
      <c r="J158" s="11"/>
      <c r="K158" s="2"/>
      <c r="L158" s="11"/>
      <c r="M158" s="33"/>
      <c r="N158" s="18"/>
      <c r="O158" s="1">
        <v>5.73</v>
      </c>
      <c r="P158" s="52"/>
      <c r="Q158" s="52"/>
      <c r="R158" s="48"/>
      <c r="S158" s="48"/>
    </row>
    <row r="159" spans="1:20" x14ac:dyDescent="0.3">
      <c r="A159" s="1"/>
      <c r="B159" s="1"/>
      <c r="C159" s="4"/>
      <c r="D159" s="4"/>
      <c r="E159" s="4"/>
      <c r="F159" s="11"/>
      <c r="G159" s="11"/>
      <c r="H159" s="11"/>
      <c r="I159" s="11"/>
      <c r="J159" s="11"/>
      <c r="K159" s="11"/>
      <c r="L159" s="11"/>
      <c r="M159" s="33"/>
      <c r="N159" s="11"/>
      <c r="O159" s="33"/>
      <c r="P159" s="52"/>
      <c r="Q159" s="52"/>
      <c r="R159" s="48"/>
      <c r="S159" s="48"/>
    </row>
    <row r="160" spans="1:20" x14ac:dyDescent="0.3">
      <c r="A160" s="1" t="s">
        <v>56</v>
      </c>
      <c r="B160" s="1"/>
      <c r="C160" s="4"/>
      <c r="D160" s="4" t="s">
        <v>99</v>
      </c>
      <c r="E160" s="4">
        <v>5.73</v>
      </c>
      <c r="F160" s="11"/>
      <c r="G160" s="11"/>
      <c r="H160" s="11"/>
      <c r="I160" s="11"/>
      <c r="J160" s="11"/>
      <c r="K160" s="2"/>
      <c r="L160" s="11"/>
      <c r="M160" s="33"/>
      <c r="N160" s="18"/>
      <c r="O160" s="1">
        <v>5.73</v>
      </c>
      <c r="P160" s="52"/>
      <c r="Q160" s="52"/>
      <c r="R160" s="48"/>
      <c r="S160" s="48"/>
    </row>
    <row r="161" spans="1:21" x14ac:dyDescent="0.3">
      <c r="A161" s="1"/>
      <c r="B161" s="1"/>
      <c r="C161" s="4"/>
      <c r="D161" s="4"/>
      <c r="E161" s="4"/>
      <c r="F161" s="11"/>
      <c r="G161" s="11"/>
      <c r="H161" s="11"/>
      <c r="I161" s="11"/>
      <c r="J161" s="11"/>
      <c r="K161" s="11"/>
      <c r="L161" s="11"/>
      <c r="M161" s="11"/>
      <c r="N161" s="11"/>
      <c r="O161" s="33"/>
      <c r="P161" s="52"/>
      <c r="Q161" s="52"/>
      <c r="R161" s="48"/>
      <c r="S161" s="48"/>
    </row>
    <row r="162" spans="1:21" x14ac:dyDescent="0.3">
      <c r="A162" s="1" t="s">
        <v>58</v>
      </c>
      <c r="B162" s="1" t="s">
        <v>51</v>
      </c>
      <c r="C162" s="4"/>
      <c r="D162" s="4" t="s">
        <v>99</v>
      </c>
      <c r="E162" s="4">
        <v>5.73</v>
      </c>
      <c r="F162" s="11"/>
      <c r="G162" s="11"/>
      <c r="H162" s="11"/>
      <c r="I162" s="11"/>
      <c r="J162" s="11"/>
      <c r="K162" s="11"/>
      <c r="L162" s="2"/>
      <c r="M162" s="11"/>
      <c r="N162" s="18"/>
      <c r="O162" s="2">
        <v>5.73</v>
      </c>
      <c r="P162" s="51"/>
      <c r="Q162" s="51"/>
      <c r="R162" s="48"/>
      <c r="S162" s="48"/>
    </row>
    <row r="163" spans="1:21" x14ac:dyDescent="0.3">
      <c r="A163" s="1"/>
      <c r="B163" s="1"/>
      <c r="C163" s="4"/>
      <c r="D163" s="4"/>
      <c r="E163" s="4"/>
      <c r="F163" s="11"/>
      <c r="G163" s="11"/>
      <c r="H163" s="11"/>
      <c r="I163" s="11"/>
      <c r="J163" s="11"/>
      <c r="K163" s="11"/>
      <c r="L163" s="11"/>
      <c r="M163" s="11"/>
      <c r="N163" s="11"/>
      <c r="O163" s="33"/>
      <c r="P163" s="52"/>
      <c r="Q163" s="52"/>
      <c r="R163" s="48"/>
      <c r="S163" s="48"/>
    </row>
    <row r="164" spans="1:21" ht="28.8" x14ac:dyDescent="0.3">
      <c r="A164" s="4" t="s">
        <v>97</v>
      </c>
      <c r="B164" s="4"/>
      <c r="C164" s="4" t="s">
        <v>3</v>
      </c>
      <c r="D164" s="4"/>
      <c r="E164" s="4">
        <v>2.5</v>
      </c>
      <c r="F164" s="6"/>
      <c r="G164" s="6"/>
      <c r="H164" s="6"/>
      <c r="I164" s="6"/>
      <c r="J164" s="6"/>
      <c r="K164" s="6"/>
      <c r="L164" s="6"/>
      <c r="M164" s="6"/>
      <c r="N164" s="10"/>
      <c r="O164" s="2">
        <f>E164</f>
        <v>2.5</v>
      </c>
      <c r="P164" s="51"/>
      <c r="Q164" s="51"/>
      <c r="R164" s="48"/>
      <c r="S164" s="48"/>
    </row>
    <row r="165" spans="1:21" ht="36.6" customHeight="1" x14ac:dyDescent="0.3">
      <c r="A165" s="69" t="s">
        <v>8</v>
      </c>
      <c r="B165" s="69"/>
      <c r="C165" s="74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70"/>
      <c r="P165" s="50"/>
      <c r="Q165" s="50"/>
      <c r="R165" s="48"/>
      <c r="S165" s="48"/>
    </row>
    <row r="166" spans="1:21" x14ac:dyDescent="0.3">
      <c r="A166" s="7" t="s">
        <v>4</v>
      </c>
      <c r="B166" s="7"/>
      <c r="C166" s="4" t="s">
        <v>1</v>
      </c>
      <c r="D166" s="7"/>
      <c r="E166" s="7"/>
      <c r="F166" s="9"/>
      <c r="G166" s="9"/>
      <c r="H166" s="9"/>
      <c r="I166" s="9"/>
      <c r="J166" s="9"/>
      <c r="K166" s="9"/>
      <c r="L166" s="9"/>
      <c r="M166" s="9"/>
      <c r="N166" s="9"/>
      <c r="O166" s="43"/>
      <c r="P166" s="49"/>
      <c r="Q166" s="49"/>
      <c r="R166" s="48"/>
      <c r="S166" s="48"/>
    </row>
    <row r="167" spans="1:21" x14ac:dyDescent="0.3">
      <c r="A167" s="8" t="s">
        <v>9</v>
      </c>
      <c r="B167" s="8"/>
      <c r="C167" s="4" t="s">
        <v>3</v>
      </c>
      <c r="D167" s="7"/>
      <c r="E167" s="7"/>
      <c r="F167" s="17"/>
      <c r="G167" s="17"/>
      <c r="H167" s="17"/>
      <c r="I167" s="17"/>
      <c r="J167" s="17"/>
      <c r="K167" s="17"/>
      <c r="L167" s="17"/>
      <c r="M167" s="17"/>
      <c r="N167" s="17"/>
      <c r="O167" s="45"/>
      <c r="P167" s="52"/>
      <c r="Q167" s="52"/>
      <c r="R167" s="48"/>
      <c r="S167" s="48"/>
      <c r="T167" s="249" t="s">
        <v>282</v>
      </c>
    </row>
    <row r="168" spans="1:21" ht="44.1" customHeight="1" x14ac:dyDescent="0.3">
      <c r="A168" s="61" t="s">
        <v>61</v>
      </c>
      <c r="B168" s="1" t="s">
        <v>22</v>
      </c>
      <c r="C168" s="4"/>
      <c r="D168" s="4" t="s">
        <v>406</v>
      </c>
      <c r="E168" s="4">
        <v>0.67</v>
      </c>
      <c r="F168" s="11"/>
      <c r="G168" s="11"/>
      <c r="H168" s="11"/>
      <c r="I168" s="18"/>
      <c r="J168" s="2">
        <f>E168</f>
        <v>0.67</v>
      </c>
      <c r="K168" s="11"/>
      <c r="L168" s="11"/>
      <c r="M168" s="11"/>
      <c r="N168" s="11"/>
      <c r="O168" s="33"/>
      <c r="P168" s="52"/>
      <c r="Q168" s="52"/>
      <c r="R168" s="48"/>
      <c r="S168" s="48"/>
      <c r="T168" s="247" t="s">
        <v>271</v>
      </c>
    </row>
    <row r="169" spans="1:21" ht="43.2" x14ac:dyDescent="0.3">
      <c r="A169" s="1"/>
      <c r="B169" s="1"/>
      <c r="C169" s="4"/>
      <c r="D169" s="4"/>
      <c r="E169" s="4"/>
      <c r="F169" s="11"/>
      <c r="G169" s="11"/>
      <c r="H169" s="11"/>
      <c r="I169" s="11"/>
      <c r="J169" s="11"/>
      <c r="K169" s="11"/>
      <c r="L169" s="11"/>
      <c r="M169" s="11"/>
      <c r="N169" s="11"/>
      <c r="O169" s="33"/>
      <c r="P169" s="52"/>
      <c r="Q169" s="52"/>
      <c r="R169" s="48"/>
      <c r="S169" s="48"/>
      <c r="T169" s="256"/>
      <c r="U169" s="256" t="s">
        <v>233</v>
      </c>
    </row>
    <row r="170" spans="1:21" ht="45" customHeight="1" x14ac:dyDescent="0.3">
      <c r="A170" s="95" t="s">
        <v>62</v>
      </c>
      <c r="B170" s="1" t="s">
        <v>22</v>
      </c>
      <c r="C170" s="4"/>
      <c r="D170" s="4" t="s">
        <v>108</v>
      </c>
      <c r="E170" s="4">
        <v>6.43</v>
      </c>
      <c r="F170" s="11"/>
      <c r="G170" s="18"/>
      <c r="H170" s="18"/>
      <c r="I170" s="2">
        <f>E170</f>
        <v>6.43</v>
      </c>
      <c r="J170" s="11"/>
      <c r="K170" s="11"/>
      <c r="L170" s="11"/>
      <c r="M170" s="11"/>
      <c r="N170" s="11"/>
      <c r="O170" s="33"/>
      <c r="P170" s="71" t="s">
        <v>199</v>
      </c>
      <c r="Q170" s="52"/>
      <c r="R170" s="48"/>
      <c r="S170" s="48"/>
      <c r="T170" s="247" t="s">
        <v>461</v>
      </c>
    </row>
    <row r="171" spans="1:21" ht="28.8" x14ac:dyDescent="0.3">
      <c r="A171" s="1"/>
      <c r="B171" s="1"/>
      <c r="C171" s="4"/>
      <c r="D171" s="4"/>
      <c r="E171" s="4"/>
      <c r="F171" s="11"/>
      <c r="G171" s="11"/>
      <c r="H171" s="11"/>
      <c r="I171" s="11"/>
      <c r="J171" s="11"/>
      <c r="K171" s="11"/>
      <c r="L171" s="11"/>
      <c r="M171" s="11"/>
      <c r="N171" s="11"/>
      <c r="O171" s="33"/>
      <c r="P171" s="52"/>
      <c r="Q171" s="52"/>
      <c r="R171" s="48"/>
      <c r="S171" s="48"/>
      <c r="T171" s="247" t="s">
        <v>234</v>
      </c>
    </row>
    <row r="172" spans="1:21" ht="24" x14ac:dyDescent="0.3">
      <c r="A172" s="61" t="s">
        <v>80</v>
      </c>
      <c r="B172" s="1" t="s">
        <v>22</v>
      </c>
      <c r="C172" s="4"/>
      <c r="D172" s="4" t="s">
        <v>108</v>
      </c>
      <c r="E172" s="4">
        <v>2.65</v>
      </c>
      <c r="F172" s="11"/>
      <c r="G172" s="18"/>
      <c r="H172" s="18"/>
      <c r="I172" s="2">
        <f>E172</f>
        <v>2.65</v>
      </c>
      <c r="J172" s="11"/>
      <c r="K172" s="11"/>
      <c r="L172" s="11"/>
      <c r="M172" s="11"/>
      <c r="N172" s="11"/>
      <c r="O172" s="33"/>
      <c r="P172" s="71" t="s">
        <v>199</v>
      </c>
      <c r="Q172" s="52"/>
      <c r="R172" s="48"/>
      <c r="S172" s="48"/>
      <c r="T172" s="24" t="s">
        <v>462</v>
      </c>
    </row>
    <row r="173" spans="1:21" x14ac:dyDescent="0.3">
      <c r="A173" s="1"/>
      <c r="B173" s="1"/>
      <c r="C173" s="4"/>
      <c r="D173" s="4"/>
      <c r="E173" s="4"/>
      <c r="F173" s="11"/>
      <c r="G173" s="11"/>
      <c r="H173" s="11"/>
      <c r="I173" s="11"/>
      <c r="J173" s="11"/>
      <c r="K173" s="11"/>
      <c r="L173" s="11"/>
      <c r="M173" s="11"/>
      <c r="N173" s="11"/>
      <c r="O173" s="33"/>
      <c r="P173" s="52"/>
      <c r="Q173" s="52"/>
      <c r="R173" s="48"/>
      <c r="S173" s="48"/>
    </row>
    <row r="174" spans="1:21" x14ac:dyDescent="0.3">
      <c r="A174" s="61" t="s">
        <v>81</v>
      </c>
      <c r="B174" s="1" t="s">
        <v>22</v>
      </c>
      <c r="C174" s="4"/>
      <c r="D174" s="4" t="s">
        <v>107</v>
      </c>
      <c r="E174" s="4">
        <v>2</v>
      </c>
      <c r="F174" s="11"/>
      <c r="G174" s="18"/>
      <c r="H174" s="18"/>
      <c r="I174" s="2">
        <f>E174</f>
        <v>2</v>
      </c>
      <c r="J174" s="11"/>
      <c r="K174" s="11"/>
      <c r="L174" s="11"/>
      <c r="M174" s="11"/>
      <c r="N174" s="11"/>
      <c r="O174" s="33"/>
      <c r="P174" s="52"/>
      <c r="Q174" s="52"/>
      <c r="R174" s="48"/>
      <c r="S174" s="48"/>
      <c r="T174" s="24"/>
    </row>
    <row r="175" spans="1:21" x14ac:dyDescent="0.3">
      <c r="A175" s="1"/>
      <c r="B175" s="1"/>
      <c r="C175" s="4"/>
      <c r="D175" s="4"/>
      <c r="E175" s="4"/>
      <c r="F175" s="11"/>
      <c r="G175" s="11"/>
      <c r="H175" s="11"/>
      <c r="I175" s="11"/>
      <c r="J175" s="11"/>
      <c r="K175" s="11"/>
      <c r="L175" s="11"/>
      <c r="M175" s="11"/>
      <c r="N175" s="11"/>
      <c r="O175" s="33"/>
      <c r="P175" s="52"/>
      <c r="Q175" s="52"/>
      <c r="R175" s="48"/>
      <c r="S175" s="48"/>
    </row>
    <row r="176" spans="1:21" x14ac:dyDescent="0.3">
      <c r="A176" s="95" t="s">
        <v>82</v>
      </c>
      <c r="B176" s="1" t="s">
        <v>22</v>
      </c>
      <c r="C176" s="4"/>
      <c r="D176" s="4" t="s">
        <v>108</v>
      </c>
      <c r="E176" s="4">
        <v>6.72</v>
      </c>
      <c r="F176" s="11"/>
      <c r="G176" s="18"/>
      <c r="H176" s="18"/>
      <c r="I176" s="2">
        <f>E176</f>
        <v>6.72</v>
      </c>
      <c r="J176" s="11"/>
      <c r="K176" s="11"/>
      <c r="L176" s="11"/>
      <c r="M176" s="11"/>
      <c r="N176" s="11"/>
      <c r="O176" s="33"/>
      <c r="P176" s="52"/>
      <c r="Q176" s="52"/>
      <c r="R176" s="48"/>
      <c r="S176" s="48"/>
      <c r="T176" s="247" t="s">
        <v>461</v>
      </c>
    </row>
    <row r="177" spans="1:21" x14ac:dyDescent="0.3">
      <c r="A177" s="1"/>
      <c r="B177" s="1"/>
      <c r="C177" s="4"/>
      <c r="D177" s="4"/>
      <c r="E177" s="4"/>
      <c r="F177" s="11"/>
      <c r="G177" s="11"/>
      <c r="H177" s="11"/>
      <c r="I177" s="11"/>
      <c r="J177" s="11"/>
      <c r="K177" s="11"/>
      <c r="L177" s="11"/>
      <c r="M177" s="11"/>
      <c r="N177" s="11"/>
      <c r="O177" s="33"/>
      <c r="P177" s="52"/>
      <c r="Q177" s="52"/>
      <c r="R177" s="48"/>
      <c r="S177" s="48"/>
    </row>
    <row r="178" spans="1:21" x14ac:dyDescent="0.3">
      <c r="A178" s="61" t="s">
        <v>83</v>
      </c>
      <c r="B178" s="1" t="s">
        <v>22</v>
      </c>
      <c r="C178" s="4"/>
      <c r="D178" s="4" t="s">
        <v>107</v>
      </c>
      <c r="E178" s="4">
        <v>2.61</v>
      </c>
      <c r="F178" s="11"/>
      <c r="G178" s="18"/>
      <c r="H178" s="18"/>
      <c r="I178" s="2">
        <f>E178</f>
        <v>2.61</v>
      </c>
      <c r="J178" s="11"/>
      <c r="K178" s="11"/>
      <c r="L178" s="11"/>
      <c r="M178" s="11"/>
      <c r="N178" s="11"/>
      <c r="O178" s="33"/>
      <c r="P178" s="52"/>
      <c r="Q178" s="52"/>
      <c r="R178" s="48"/>
      <c r="S178" s="48"/>
      <c r="T178" s="24"/>
    </row>
    <row r="179" spans="1:21" x14ac:dyDescent="0.3">
      <c r="A179" s="1"/>
      <c r="B179" s="1"/>
      <c r="C179" s="4"/>
      <c r="D179" s="4"/>
      <c r="E179" s="4"/>
      <c r="F179" s="11"/>
      <c r="G179" s="11"/>
      <c r="H179" s="11"/>
      <c r="I179" s="11"/>
      <c r="J179" s="11"/>
      <c r="K179" s="11"/>
      <c r="L179" s="11"/>
      <c r="M179" s="11"/>
      <c r="N179" s="11"/>
      <c r="O179" s="33"/>
      <c r="P179" s="52"/>
      <c r="Q179" s="52"/>
      <c r="R179" s="48"/>
      <c r="S179" s="48"/>
    </row>
    <row r="180" spans="1:21" x14ac:dyDescent="0.3">
      <c r="A180" s="95" t="s">
        <v>84</v>
      </c>
      <c r="B180" s="1" t="s">
        <v>22</v>
      </c>
      <c r="C180" s="4"/>
      <c r="D180" s="4" t="s">
        <v>108</v>
      </c>
      <c r="E180" s="4">
        <v>1.76</v>
      </c>
      <c r="F180" s="11"/>
      <c r="G180" s="11"/>
      <c r="H180" s="18"/>
      <c r="I180" s="18"/>
      <c r="J180" s="18"/>
      <c r="K180" s="2">
        <f>E180</f>
        <v>1.76</v>
      </c>
      <c r="L180" s="11"/>
      <c r="M180" s="11"/>
      <c r="N180" s="11"/>
      <c r="O180" s="33"/>
      <c r="P180" s="52"/>
      <c r="Q180" s="52"/>
      <c r="R180" s="48"/>
      <c r="S180" s="48"/>
      <c r="T180" s="247" t="s">
        <v>461</v>
      </c>
    </row>
    <row r="181" spans="1:21" x14ac:dyDescent="0.3">
      <c r="A181" s="1"/>
      <c r="B181" s="1"/>
      <c r="C181" s="4"/>
      <c r="D181" s="4"/>
      <c r="E181" s="4"/>
      <c r="F181" s="11"/>
      <c r="G181" s="11"/>
      <c r="H181" s="11"/>
      <c r="I181" s="11"/>
      <c r="J181" s="11"/>
      <c r="K181" s="11"/>
      <c r="L181" s="11"/>
      <c r="M181" s="11"/>
      <c r="N181" s="11"/>
      <c r="O181" s="33"/>
      <c r="P181" s="52"/>
      <c r="Q181" s="52"/>
      <c r="R181" s="48"/>
      <c r="S181" s="48"/>
    </row>
    <row r="182" spans="1:21" x14ac:dyDescent="0.3">
      <c r="A182" s="1" t="s">
        <v>85</v>
      </c>
      <c r="B182" s="1" t="s">
        <v>22</v>
      </c>
      <c r="C182" s="4"/>
      <c r="D182" s="4" t="s">
        <v>108</v>
      </c>
      <c r="E182" s="4">
        <v>7.98</v>
      </c>
      <c r="F182" s="11"/>
      <c r="G182" s="11"/>
      <c r="H182" s="18"/>
      <c r="I182" s="18"/>
      <c r="J182" s="18"/>
      <c r="K182" s="2">
        <f>E182</f>
        <v>7.98</v>
      </c>
      <c r="L182" s="11"/>
      <c r="M182" s="11"/>
      <c r="N182" s="11"/>
      <c r="O182" s="33"/>
      <c r="P182" s="52"/>
      <c r="Q182" s="52"/>
      <c r="R182" s="48"/>
      <c r="S182" s="48"/>
      <c r="T182" s="24"/>
    </row>
    <row r="183" spans="1:21" x14ac:dyDescent="0.3">
      <c r="A183" s="1"/>
      <c r="B183" s="1"/>
      <c r="C183" s="4"/>
      <c r="D183" s="4"/>
      <c r="E183" s="4"/>
      <c r="F183" s="11"/>
      <c r="G183" s="11"/>
      <c r="H183" s="11"/>
      <c r="I183" s="11"/>
      <c r="J183" s="11"/>
      <c r="K183" s="11"/>
      <c r="L183" s="11"/>
      <c r="M183" s="11"/>
      <c r="N183" s="11"/>
      <c r="O183" s="33"/>
      <c r="P183" s="52"/>
      <c r="Q183" s="52"/>
      <c r="R183" s="48"/>
      <c r="S183" s="48"/>
    </row>
    <row r="184" spans="1:21" ht="36.6" customHeight="1" x14ac:dyDescent="0.3">
      <c r="A184" s="8" t="s">
        <v>10</v>
      </c>
      <c r="B184" s="8"/>
      <c r="C184" s="4" t="s">
        <v>3</v>
      </c>
      <c r="D184" s="7"/>
      <c r="E184" s="7"/>
      <c r="F184" s="17"/>
      <c r="G184" s="17"/>
      <c r="H184" s="17"/>
      <c r="I184" s="17"/>
      <c r="J184" s="17"/>
      <c r="K184" s="17"/>
      <c r="L184" s="17"/>
      <c r="M184" s="17"/>
      <c r="N184" s="17"/>
      <c r="O184" s="45"/>
      <c r="P184" s="52"/>
      <c r="Q184" s="52"/>
      <c r="R184" s="48"/>
      <c r="S184" s="48"/>
      <c r="T184" s="39" t="s">
        <v>235</v>
      </c>
      <c r="U184" s="247" t="s">
        <v>225</v>
      </c>
    </row>
    <row r="185" spans="1:21" ht="36" x14ac:dyDescent="0.3">
      <c r="A185" s="62" t="s">
        <v>63</v>
      </c>
      <c r="B185" s="1"/>
      <c r="C185" s="59" t="s">
        <v>407</v>
      </c>
      <c r="D185" s="4" t="s">
        <v>105</v>
      </c>
      <c r="E185" s="4">
        <v>6.46</v>
      </c>
      <c r="F185" s="11"/>
      <c r="G185" s="11"/>
      <c r="H185" s="18"/>
      <c r="I185" s="2">
        <f>E185</f>
        <v>6.46</v>
      </c>
      <c r="J185" s="11"/>
      <c r="K185" s="11"/>
      <c r="L185" s="11"/>
      <c r="M185" s="11"/>
      <c r="N185" s="11"/>
      <c r="O185" s="11"/>
      <c r="P185" s="71" t="s">
        <v>174</v>
      </c>
      <c r="Q185" s="71" t="s">
        <v>209</v>
      </c>
      <c r="R185" s="71" t="s">
        <v>312</v>
      </c>
      <c r="S185" s="48"/>
      <c r="T185" s="247" t="s">
        <v>327</v>
      </c>
      <c r="U185" s="247" t="s">
        <v>133</v>
      </c>
    </row>
    <row r="186" spans="1:21" x14ac:dyDescent="0.3">
      <c r="A186" s="1"/>
      <c r="B186" s="1"/>
      <c r="C186" s="4"/>
      <c r="D186" s="4"/>
      <c r="E186" s="4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52"/>
      <c r="Q186" s="52"/>
      <c r="R186" s="48"/>
      <c r="S186" s="48"/>
      <c r="U186" s="247" t="s">
        <v>134</v>
      </c>
    </row>
    <row r="187" spans="1:21" ht="87" customHeight="1" x14ac:dyDescent="0.3">
      <c r="A187" s="62" t="s">
        <v>64</v>
      </c>
      <c r="B187" s="1" t="s">
        <v>51</v>
      </c>
      <c r="C187" s="59" t="s">
        <v>315</v>
      </c>
      <c r="D187" s="4" t="s">
        <v>105</v>
      </c>
      <c r="E187" s="4">
        <v>7.57</v>
      </c>
      <c r="F187" s="18"/>
      <c r="G187" s="2">
        <f>E187</f>
        <v>7.57</v>
      </c>
      <c r="H187" s="11"/>
      <c r="I187" s="11"/>
      <c r="J187" s="11"/>
      <c r="K187" s="11"/>
      <c r="L187" s="11"/>
      <c r="M187" s="11"/>
      <c r="N187" s="11"/>
      <c r="O187" s="11"/>
      <c r="P187" s="71" t="s">
        <v>202</v>
      </c>
      <c r="Q187" s="71" t="s">
        <v>209</v>
      </c>
      <c r="R187" s="48"/>
      <c r="S187" s="48"/>
      <c r="T187" s="63" t="s">
        <v>319</v>
      </c>
    </row>
    <row r="188" spans="1:21" ht="36.6" customHeight="1" x14ac:dyDescent="0.3">
      <c r="A188" s="1"/>
      <c r="B188" s="1"/>
      <c r="C188" s="4"/>
      <c r="D188" s="4"/>
      <c r="E188" s="4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52"/>
      <c r="Q188" s="52"/>
      <c r="R188" s="48"/>
      <c r="S188" s="48"/>
      <c r="T188" s="247" t="s">
        <v>159</v>
      </c>
    </row>
    <row r="189" spans="1:21" x14ac:dyDescent="0.3">
      <c r="A189" s="1" t="s">
        <v>65</v>
      </c>
      <c r="B189" s="1"/>
      <c r="C189" s="4"/>
      <c r="D189" s="4" t="s">
        <v>105</v>
      </c>
      <c r="E189" s="4">
        <v>0.28000000000000003</v>
      </c>
      <c r="F189" s="11"/>
      <c r="G189" s="11"/>
      <c r="H189" s="18"/>
      <c r="I189" s="2">
        <f>E189</f>
        <v>0.28000000000000003</v>
      </c>
      <c r="J189" s="11"/>
      <c r="K189" s="11"/>
      <c r="L189" s="11"/>
      <c r="M189" s="11"/>
      <c r="N189" s="11"/>
      <c r="O189" s="11"/>
      <c r="P189" s="52"/>
      <c r="Q189" s="52"/>
      <c r="R189" s="48"/>
      <c r="S189" s="48"/>
    </row>
    <row r="190" spans="1:21" x14ac:dyDescent="0.3">
      <c r="A190" s="1"/>
      <c r="B190" s="1"/>
      <c r="C190" s="4"/>
      <c r="D190" s="4"/>
      <c r="E190" s="4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52"/>
      <c r="Q190" s="52"/>
      <c r="R190" s="48"/>
      <c r="S190" s="48"/>
      <c r="T190" s="35" t="s">
        <v>237</v>
      </c>
    </row>
    <row r="191" spans="1:21" ht="36" customHeight="1" x14ac:dyDescent="0.3">
      <c r="A191" s="62" t="s">
        <v>66</v>
      </c>
      <c r="B191" s="1" t="s">
        <v>51</v>
      </c>
      <c r="C191" s="59" t="s">
        <v>408</v>
      </c>
      <c r="D191" s="4" t="s">
        <v>105</v>
      </c>
      <c r="E191" s="4">
        <v>7.47</v>
      </c>
      <c r="F191" s="18"/>
      <c r="G191" s="2">
        <f>E191</f>
        <v>7.47</v>
      </c>
      <c r="H191" s="11"/>
      <c r="I191" s="11"/>
      <c r="J191" s="11"/>
      <c r="K191" s="11"/>
      <c r="L191" s="11"/>
      <c r="M191" s="11"/>
      <c r="N191" s="11"/>
      <c r="O191" s="11"/>
      <c r="P191" s="71" t="s">
        <v>209</v>
      </c>
      <c r="Q191" s="71" t="s">
        <v>246</v>
      </c>
      <c r="R191" s="48"/>
      <c r="S191" s="48"/>
      <c r="T191" s="257" t="s">
        <v>320</v>
      </c>
    </row>
    <row r="192" spans="1:21" x14ac:dyDescent="0.3">
      <c r="A192" s="1"/>
      <c r="B192" s="1"/>
      <c r="C192" s="4"/>
      <c r="D192" s="4"/>
      <c r="E192" s="4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52"/>
      <c r="Q192" s="52"/>
      <c r="R192" s="48"/>
      <c r="S192" s="48"/>
      <c r="T192" s="22"/>
    </row>
    <row r="193" spans="1:20" ht="48" customHeight="1" x14ac:dyDescent="0.3">
      <c r="A193" s="62" t="s">
        <v>67</v>
      </c>
      <c r="B193" s="62" t="s">
        <v>51</v>
      </c>
      <c r="C193" s="59" t="s">
        <v>408</v>
      </c>
      <c r="D193" s="4" t="s">
        <v>105</v>
      </c>
      <c r="E193" s="4">
        <v>7.49</v>
      </c>
      <c r="F193" s="18"/>
      <c r="G193" s="2">
        <f>E193</f>
        <v>7.49</v>
      </c>
      <c r="H193" s="11"/>
      <c r="I193" s="11"/>
      <c r="J193" s="11"/>
      <c r="K193" s="11"/>
      <c r="L193" s="11"/>
      <c r="M193" s="11"/>
      <c r="N193" s="11"/>
      <c r="O193" s="11"/>
      <c r="P193" s="52"/>
      <c r="Q193" s="52"/>
      <c r="R193" s="48"/>
      <c r="S193" s="48"/>
      <c r="T193" s="257" t="s">
        <v>321</v>
      </c>
    </row>
    <row r="194" spans="1:20" ht="36.6" customHeight="1" x14ac:dyDescent="0.3">
      <c r="A194" s="1"/>
      <c r="B194" s="1"/>
      <c r="C194" s="4"/>
      <c r="D194" s="4"/>
      <c r="E194" s="4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52"/>
      <c r="Q194" s="52"/>
      <c r="R194" s="48"/>
      <c r="S194" s="48"/>
      <c r="T194" s="22"/>
    </row>
    <row r="195" spans="1:20" x14ac:dyDescent="0.3">
      <c r="A195" s="1" t="s">
        <v>68</v>
      </c>
      <c r="B195" s="1"/>
      <c r="C195" s="4"/>
      <c r="D195" s="4" t="s">
        <v>105</v>
      </c>
      <c r="E195" s="4">
        <v>0.33</v>
      </c>
      <c r="F195" s="11"/>
      <c r="G195" s="11"/>
      <c r="H195" s="11"/>
      <c r="I195" s="18"/>
      <c r="J195" s="2">
        <f>E195</f>
        <v>0.33</v>
      </c>
      <c r="K195" s="11"/>
      <c r="L195" s="11"/>
      <c r="M195" s="11"/>
      <c r="N195" s="11"/>
      <c r="O195" s="11"/>
      <c r="P195" s="52"/>
      <c r="Q195" s="52"/>
      <c r="R195" s="48"/>
      <c r="S195" s="48"/>
      <c r="T195" s="35" t="s">
        <v>308</v>
      </c>
    </row>
    <row r="196" spans="1:20" x14ac:dyDescent="0.3">
      <c r="A196" s="1"/>
      <c r="B196" s="1"/>
      <c r="C196" s="4"/>
      <c r="D196" s="4"/>
      <c r="E196" s="4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52"/>
      <c r="Q196" s="52"/>
      <c r="R196" s="48"/>
      <c r="S196" s="48"/>
    </row>
    <row r="197" spans="1:20" x14ac:dyDescent="0.3">
      <c r="A197" s="1" t="s">
        <v>69</v>
      </c>
      <c r="B197" s="1"/>
      <c r="C197" s="4"/>
      <c r="D197" s="4" t="s">
        <v>104</v>
      </c>
      <c r="E197" s="4">
        <v>0.24</v>
      </c>
      <c r="F197" s="11"/>
      <c r="G197" s="11"/>
      <c r="H197" s="11"/>
      <c r="I197" s="18"/>
      <c r="J197" s="2">
        <f>E197</f>
        <v>0.24</v>
      </c>
      <c r="K197" s="11"/>
      <c r="L197" s="11"/>
      <c r="M197" s="11"/>
      <c r="N197" s="11"/>
      <c r="O197" s="11"/>
      <c r="P197" s="52"/>
      <c r="Q197" s="52"/>
      <c r="R197" s="48"/>
      <c r="S197" s="48"/>
      <c r="T197" s="35" t="s">
        <v>307</v>
      </c>
    </row>
    <row r="198" spans="1:20" x14ac:dyDescent="0.3">
      <c r="A198" s="1"/>
      <c r="B198" s="1"/>
      <c r="C198" s="4"/>
      <c r="D198" s="4"/>
      <c r="E198" s="4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52"/>
      <c r="Q198" s="52"/>
      <c r="R198" s="48"/>
      <c r="S198" s="48"/>
    </row>
    <row r="199" spans="1:20" ht="28.8" x14ac:dyDescent="0.3">
      <c r="A199" s="61" t="s">
        <v>70</v>
      </c>
      <c r="B199" s="1" t="s">
        <v>51</v>
      </c>
      <c r="C199" s="4"/>
      <c r="D199" s="4" t="s">
        <v>105</v>
      </c>
      <c r="E199" s="4">
        <v>6.05</v>
      </c>
      <c r="F199" s="11"/>
      <c r="G199" s="18"/>
      <c r="H199" s="2">
        <f>E199</f>
        <v>6.05</v>
      </c>
      <c r="I199" s="11"/>
      <c r="J199" s="11"/>
      <c r="K199" s="11"/>
      <c r="L199" s="11"/>
      <c r="M199" s="11"/>
      <c r="N199" s="11"/>
      <c r="O199" s="11"/>
      <c r="P199" s="71" t="s">
        <v>203</v>
      </c>
      <c r="Q199" s="71" t="s">
        <v>216</v>
      </c>
      <c r="R199" s="71" t="s">
        <v>245</v>
      </c>
      <c r="S199" s="48"/>
      <c r="T199" s="35" t="s">
        <v>305</v>
      </c>
    </row>
    <row r="200" spans="1:20" x14ac:dyDescent="0.3">
      <c r="A200" s="1"/>
      <c r="B200" s="1"/>
      <c r="C200" s="4"/>
      <c r="D200" s="4"/>
      <c r="E200" s="4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52"/>
      <c r="Q200" s="52"/>
      <c r="R200" s="48"/>
      <c r="S200" s="48"/>
    </row>
    <row r="201" spans="1:20" ht="28.8" x14ac:dyDescent="0.3">
      <c r="A201" s="61" t="s">
        <v>71</v>
      </c>
      <c r="B201" s="1"/>
      <c r="C201" s="4"/>
      <c r="D201" s="4" t="s">
        <v>105</v>
      </c>
      <c r="E201" s="4">
        <v>5.38</v>
      </c>
      <c r="F201" s="11"/>
      <c r="G201" s="11"/>
      <c r="H201" s="18"/>
      <c r="I201" s="2">
        <f>E201</f>
        <v>5.38</v>
      </c>
      <c r="J201" s="11"/>
      <c r="K201" s="11"/>
      <c r="L201" s="11"/>
      <c r="M201" s="11"/>
      <c r="N201" s="11"/>
      <c r="O201" s="11"/>
      <c r="P201" s="71" t="s">
        <v>203</v>
      </c>
      <c r="Q201" s="52"/>
      <c r="R201" s="48"/>
      <c r="S201" s="48"/>
      <c r="T201" s="35" t="s">
        <v>322</v>
      </c>
    </row>
    <row r="202" spans="1:20" x14ac:dyDescent="0.3">
      <c r="A202" s="1"/>
      <c r="B202" s="1"/>
      <c r="C202" s="4"/>
      <c r="D202" s="4"/>
      <c r="E202" s="4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52"/>
      <c r="Q202" s="52"/>
      <c r="R202" s="48"/>
      <c r="S202" s="48"/>
    </row>
    <row r="203" spans="1:20" x14ac:dyDescent="0.3">
      <c r="A203" s="62" t="s">
        <v>72</v>
      </c>
      <c r="B203" s="62"/>
      <c r="C203" s="59" t="s">
        <v>315</v>
      </c>
      <c r="D203" s="4" t="s">
        <v>105</v>
      </c>
      <c r="E203" s="4">
        <v>7.19</v>
      </c>
      <c r="F203" s="11"/>
      <c r="G203" s="11"/>
      <c r="H203" s="18"/>
      <c r="I203" s="2">
        <f>E203</f>
        <v>7.19</v>
      </c>
      <c r="J203" s="11"/>
      <c r="K203" s="11"/>
      <c r="L203" s="11"/>
      <c r="M203" s="11"/>
      <c r="N203" s="11"/>
      <c r="O203" s="11"/>
      <c r="P203" s="52"/>
      <c r="Q203" s="52"/>
      <c r="R203" s="48"/>
      <c r="S203" s="48"/>
      <c r="T203" s="35" t="s">
        <v>323</v>
      </c>
    </row>
    <row r="204" spans="1:20" x14ac:dyDescent="0.3">
      <c r="A204" s="1"/>
      <c r="B204" s="1"/>
      <c r="C204" s="4"/>
      <c r="D204" s="4"/>
      <c r="E204" s="4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52"/>
      <c r="Q204" s="52"/>
      <c r="R204" s="48"/>
      <c r="S204" s="48"/>
    </row>
    <row r="205" spans="1:20" x14ac:dyDescent="0.3">
      <c r="A205" s="1" t="s">
        <v>73</v>
      </c>
      <c r="B205" s="1"/>
      <c r="C205" s="4"/>
      <c r="D205" s="4" t="s">
        <v>105</v>
      </c>
      <c r="E205" s="4">
        <v>0.27</v>
      </c>
      <c r="F205" s="11"/>
      <c r="G205" s="11"/>
      <c r="H205" s="18"/>
      <c r="I205" s="2">
        <f>E205</f>
        <v>0.27</v>
      </c>
      <c r="J205" s="11"/>
      <c r="K205" s="11"/>
      <c r="L205" s="11"/>
      <c r="M205" s="11"/>
      <c r="N205" s="11"/>
      <c r="O205" s="11"/>
      <c r="P205" s="52"/>
      <c r="Q205" s="52"/>
      <c r="R205" s="48"/>
      <c r="S205" s="48"/>
      <c r="T205" s="35" t="s">
        <v>306</v>
      </c>
    </row>
    <row r="206" spans="1:20" x14ac:dyDescent="0.3">
      <c r="A206" s="1"/>
      <c r="B206" s="1"/>
      <c r="C206" s="4"/>
      <c r="D206" s="4"/>
      <c r="E206" s="4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52"/>
      <c r="Q206" s="52"/>
      <c r="R206" s="48"/>
      <c r="S206" s="48"/>
    </row>
    <row r="207" spans="1:20" ht="43.2" x14ac:dyDescent="0.3">
      <c r="A207" s="62" t="s">
        <v>74</v>
      </c>
      <c r="B207" s="62"/>
      <c r="C207" s="59" t="s">
        <v>316</v>
      </c>
      <c r="D207" s="4" t="s">
        <v>105</v>
      </c>
      <c r="E207" s="4">
        <v>4.97</v>
      </c>
      <c r="F207" s="11"/>
      <c r="G207" s="11"/>
      <c r="H207" s="11"/>
      <c r="I207" s="18"/>
      <c r="J207" s="2">
        <f>E207</f>
        <v>4.97</v>
      </c>
      <c r="K207" s="11"/>
      <c r="L207" s="11"/>
      <c r="M207" s="11"/>
      <c r="N207" s="11"/>
      <c r="O207" s="11"/>
      <c r="P207" s="71" t="s">
        <v>204</v>
      </c>
      <c r="Q207" s="71" t="s">
        <v>258</v>
      </c>
      <c r="R207" s="48"/>
      <c r="S207" s="48"/>
      <c r="T207" s="35" t="s">
        <v>304</v>
      </c>
    </row>
    <row r="208" spans="1:20" x14ac:dyDescent="0.3">
      <c r="A208" s="1"/>
      <c r="B208" s="1"/>
      <c r="C208" s="4"/>
      <c r="D208" s="4"/>
      <c r="E208" s="4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52"/>
      <c r="Q208" s="52"/>
      <c r="R208" s="48"/>
      <c r="S208" s="48"/>
    </row>
    <row r="209" spans="1:21" ht="43.2" x14ac:dyDescent="0.3">
      <c r="A209" s="62" t="s">
        <v>75</v>
      </c>
      <c r="B209" s="62"/>
      <c r="C209" s="59" t="s">
        <v>316</v>
      </c>
      <c r="D209" s="4" t="s">
        <v>105</v>
      </c>
      <c r="E209" s="4">
        <v>5.32</v>
      </c>
      <c r="F209" s="11"/>
      <c r="G209" s="11"/>
      <c r="H209" s="11"/>
      <c r="I209" s="18"/>
      <c r="J209" s="2">
        <f>E209</f>
        <v>5.32</v>
      </c>
      <c r="K209" s="11"/>
      <c r="L209" s="11"/>
      <c r="M209" s="11"/>
      <c r="N209" s="11"/>
      <c r="O209" s="11"/>
      <c r="P209" s="71" t="s">
        <v>259</v>
      </c>
      <c r="Q209" s="52"/>
      <c r="R209" s="48"/>
      <c r="S209" s="48"/>
      <c r="T209" s="35" t="s">
        <v>303</v>
      </c>
    </row>
    <row r="210" spans="1:21" x14ac:dyDescent="0.3">
      <c r="A210" s="1"/>
      <c r="B210" s="1"/>
      <c r="C210" s="4"/>
      <c r="D210" s="4"/>
      <c r="E210" s="4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52"/>
      <c r="Q210" s="52"/>
      <c r="R210" s="48"/>
      <c r="S210" s="48"/>
    </row>
    <row r="211" spans="1:21" x14ac:dyDescent="0.3">
      <c r="A211" s="1" t="s">
        <v>76</v>
      </c>
      <c r="B211" s="1"/>
      <c r="C211" s="4"/>
      <c r="D211" s="4" t="s">
        <v>104</v>
      </c>
      <c r="E211" s="4">
        <v>0.19</v>
      </c>
      <c r="F211" s="11"/>
      <c r="G211" s="11"/>
      <c r="H211" s="11"/>
      <c r="I211" s="18"/>
      <c r="J211" s="2">
        <f>E211</f>
        <v>0.19</v>
      </c>
      <c r="K211" s="11"/>
      <c r="L211" s="11"/>
      <c r="M211" s="11"/>
      <c r="N211" s="11"/>
      <c r="O211" s="11"/>
      <c r="P211" s="52"/>
      <c r="Q211" s="52"/>
      <c r="R211" s="48"/>
      <c r="S211" s="48"/>
      <c r="T211" s="35" t="s">
        <v>238</v>
      </c>
    </row>
    <row r="212" spans="1:21" x14ac:dyDescent="0.3">
      <c r="A212" s="1"/>
      <c r="B212" s="1"/>
      <c r="C212" s="4"/>
      <c r="D212" s="4"/>
      <c r="E212" s="4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52"/>
      <c r="Q212" s="52"/>
      <c r="R212" s="48"/>
      <c r="S212" s="48"/>
    </row>
    <row r="213" spans="1:21" ht="35.1" customHeight="1" x14ac:dyDescent="0.3">
      <c r="A213" s="61" t="s">
        <v>77</v>
      </c>
      <c r="B213" s="1" t="s">
        <v>51</v>
      </c>
      <c r="C213" s="4"/>
      <c r="D213" s="4" t="s">
        <v>105</v>
      </c>
      <c r="E213" s="4">
        <v>5.9</v>
      </c>
      <c r="F213" s="11"/>
      <c r="G213" s="11"/>
      <c r="H213" s="11"/>
      <c r="I213" s="11"/>
      <c r="J213" s="18"/>
      <c r="K213" s="2">
        <f>E213</f>
        <v>5.9</v>
      </c>
      <c r="L213" s="11"/>
      <c r="M213" s="11"/>
      <c r="N213" s="11"/>
      <c r="O213" s="11"/>
      <c r="P213" s="71" t="s">
        <v>223</v>
      </c>
      <c r="Q213" s="52"/>
      <c r="R213" s="48"/>
      <c r="S213" s="48"/>
      <c r="T213" s="35" t="s">
        <v>326</v>
      </c>
    </row>
    <row r="214" spans="1:21" x14ac:dyDescent="0.3">
      <c r="A214" s="1"/>
      <c r="B214" s="1"/>
      <c r="C214" s="4"/>
      <c r="D214" s="4"/>
      <c r="E214" s="4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53"/>
      <c r="Q214" s="52"/>
      <c r="R214" s="48"/>
      <c r="S214" s="48"/>
    </row>
    <row r="215" spans="1:21" ht="43.2" x14ac:dyDescent="0.3">
      <c r="A215" s="62" t="s">
        <v>78</v>
      </c>
      <c r="B215" s="62" t="s">
        <v>51</v>
      </c>
      <c r="C215" s="59" t="s">
        <v>315</v>
      </c>
      <c r="D215" s="4" t="s">
        <v>105</v>
      </c>
      <c r="E215" s="4">
        <v>6.58</v>
      </c>
      <c r="F215" s="11"/>
      <c r="G215" s="11"/>
      <c r="H215" s="11"/>
      <c r="I215" s="11"/>
      <c r="J215" s="18"/>
      <c r="K215" s="2">
        <f>E215</f>
        <v>6.58</v>
      </c>
      <c r="L215" s="11"/>
      <c r="M215" s="11"/>
      <c r="N215" s="11"/>
      <c r="O215" s="11"/>
      <c r="P215" s="71" t="s">
        <v>223</v>
      </c>
      <c r="Q215" s="71" t="s">
        <v>260</v>
      </c>
      <c r="R215" s="48"/>
      <c r="S215" s="48"/>
      <c r="T215" s="35" t="s">
        <v>325</v>
      </c>
    </row>
    <row r="216" spans="1:21" x14ac:dyDescent="0.3">
      <c r="A216" s="1"/>
      <c r="B216" s="1"/>
      <c r="C216" s="4"/>
      <c r="D216" s="4"/>
      <c r="E216" s="4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52"/>
      <c r="Q216" s="52"/>
      <c r="R216" s="48"/>
      <c r="S216" s="48"/>
    </row>
    <row r="217" spans="1:21" ht="28.8" x14ac:dyDescent="0.3">
      <c r="A217" s="61" t="s">
        <v>79</v>
      </c>
      <c r="B217" s="1"/>
      <c r="C217" s="4"/>
      <c r="D217" s="4" t="s">
        <v>105</v>
      </c>
      <c r="E217" s="4">
        <v>5.55</v>
      </c>
      <c r="F217" s="11"/>
      <c r="G217" s="11"/>
      <c r="H217" s="11"/>
      <c r="I217" s="11"/>
      <c r="J217" s="11"/>
      <c r="K217" s="18"/>
      <c r="L217" s="1">
        <f>E217</f>
        <v>5.55</v>
      </c>
      <c r="M217" s="11"/>
      <c r="N217" s="11"/>
      <c r="O217" s="11"/>
      <c r="P217" s="53" t="s">
        <v>261</v>
      </c>
      <c r="Q217" s="71" t="s">
        <v>312</v>
      </c>
      <c r="R217" s="48"/>
      <c r="S217" s="48"/>
      <c r="T217" s="35" t="s">
        <v>324</v>
      </c>
    </row>
    <row r="218" spans="1:21" x14ac:dyDescent="0.3">
      <c r="A218" s="1"/>
      <c r="B218" s="1"/>
      <c r="C218" s="4"/>
      <c r="D218" s="4"/>
      <c r="E218" s="4"/>
      <c r="F218" s="11"/>
      <c r="G218" s="11"/>
      <c r="H218" s="11"/>
      <c r="I218" s="11"/>
      <c r="J218" s="11"/>
      <c r="K218" s="11"/>
      <c r="L218" s="11"/>
      <c r="M218" s="11"/>
      <c r="N218" s="11"/>
      <c r="O218" s="33"/>
      <c r="P218" s="52"/>
      <c r="Q218" s="52"/>
      <c r="R218" s="48"/>
      <c r="S218" s="48"/>
    </row>
    <row r="219" spans="1:21" ht="167.4" customHeight="1" x14ac:dyDescent="0.3">
      <c r="A219" s="8" t="s">
        <v>11</v>
      </c>
      <c r="B219" s="8"/>
      <c r="C219" s="4" t="s">
        <v>3</v>
      </c>
      <c r="D219" s="7"/>
      <c r="E219" s="7"/>
      <c r="F219" s="17"/>
      <c r="G219" s="17"/>
      <c r="H219" s="17"/>
      <c r="I219" s="17"/>
      <c r="J219" s="17"/>
      <c r="K219" s="17"/>
      <c r="L219" s="17"/>
      <c r="M219" s="17"/>
      <c r="N219" s="17"/>
      <c r="O219" s="45"/>
      <c r="P219" s="52"/>
      <c r="Q219" s="52"/>
      <c r="R219" s="48"/>
      <c r="S219" s="48"/>
      <c r="T219" s="249" t="s">
        <v>160</v>
      </c>
    </row>
    <row r="220" spans="1:21" ht="89.4" customHeight="1" x14ac:dyDescent="0.3">
      <c r="A220" s="61" t="s">
        <v>227</v>
      </c>
      <c r="B220" s="1"/>
      <c r="C220" s="75" t="s">
        <v>145</v>
      </c>
      <c r="D220" s="4" t="s">
        <v>99</v>
      </c>
      <c r="E220" s="4">
        <v>439.88</v>
      </c>
      <c r="F220" s="18"/>
      <c r="G220" s="18"/>
      <c r="H220" s="1">
        <f>E220</f>
        <v>439.88</v>
      </c>
      <c r="I220" s="11"/>
      <c r="J220" s="11"/>
      <c r="K220" s="11"/>
      <c r="L220" s="11"/>
      <c r="M220" s="11"/>
      <c r="N220" s="11"/>
      <c r="O220" s="33"/>
      <c r="P220" s="52"/>
      <c r="Q220" s="52"/>
      <c r="R220" s="48"/>
      <c r="S220" s="48"/>
      <c r="T220" s="258" t="s">
        <v>273</v>
      </c>
      <c r="U220" s="247" t="s">
        <v>162</v>
      </c>
    </row>
    <row r="221" spans="1:21" ht="89.4" customHeight="1" x14ac:dyDescent="0.3">
      <c r="A221" s="62" t="s">
        <v>226</v>
      </c>
      <c r="B221" s="1"/>
      <c r="C221" s="75" t="s">
        <v>145</v>
      </c>
      <c r="D221" s="4"/>
      <c r="E221" s="4"/>
      <c r="F221" s="11"/>
      <c r="G221" s="11"/>
      <c r="H221" s="1"/>
      <c r="I221" s="11"/>
      <c r="J221" s="11"/>
      <c r="K221" s="11"/>
      <c r="L221" s="11"/>
      <c r="M221" s="11"/>
      <c r="N221" s="11"/>
      <c r="O221" s="33"/>
      <c r="P221" s="52"/>
      <c r="Q221" s="52"/>
      <c r="R221" s="48"/>
      <c r="S221" s="48"/>
      <c r="T221" s="258" t="s">
        <v>274</v>
      </c>
    </row>
    <row r="222" spans="1:21" x14ac:dyDescent="0.3">
      <c r="A222" s="1" t="s">
        <v>154</v>
      </c>
      <c r="B222" s="1"/>
      <c r="C222" s="75" t="s">
        <v>145</v>
      </c>
      <c r="D222" s="4" t="s">
        <v>99</v>
      </c>
      <c r="E222" s="4"/>
      <c r="F222" s="11"/>
      <c r="G222" s="11"/>
      <c r="H222" s="11"/>
      <c r="I222" s="11"/>
      <c r="J222" s="18"/>
      <c r="K222" s="32"/>
      <c r="L222" s="11"/>
      <c r="M222" s="11"/>
      <c r="N222" s="11"/>
      <c r="O222" s="33"/>
      <c r="P222" s="52"/>
      <c r="Q222" s="52"/>
      <c r="R222" s="48"/>
      <c r="S222" s="48"/>
      <c r="T222" s="25"/>
    </row>
    <row r="223" spans="1:21" ht="28.8" x14ac:dyDescent="0.3">
      <c r="A223" s="1"/>
      <c r="B223" s="1"/>
      <c r="C223" s="4"/>
      <c r="D223" s="4"/>
      <c r="E223" s="4"/>
      <c r="F223" s="11"/>
      <c r="G223" s="11"/>
      <c r="H223" s="11"/>
      <c r="I223" s="11"/>
      <c r="J223" s="11"/>
      <c r="K223" s="11"/>
      <c r="L223" s="11"/>
      <c r="M223" s="11"/>
      <c r="N223" s="11"/>
      <c r="O223" s="33"/>
      <c r="P223" s="52"/>
      <c r="Q223" s="52"/>
      <c r="R223" s="48"/>
      <c r="S223" s="48"/>
      <c r="T223" s="25" t="s">
        <v>161</v>
      </c>
    </row>
    <row r="224" spans="1:21" ht="28.35" customHeight="1" x14ac:dyDescent="0.3">
      <c r="A224" s="37" t="s">
        <v>100</v>
      </c>
      <c r="B224" s="1"/>
      <c r="C224" s="76" t="s">
        <v>143</v>
      </c>
      <c r="D224" s="4" t="s">
        <v>99</v>
      </c>
      <c r="E224" s="4">
        <v>77.56</v>
      </c>
      <c r="F224" s="11"/>
      <c r="G224" s="11"/>
      <c r="H224" s="18"/>
      <c r="I224" s="2">
        <f>E224</f>
        <v>77.56</v>
      </c>
      <c r="J224" s="11"/>
      <c r="K224" s="11"/>
      <c r="L224" s="11"/>
      <c r="M224" s="11"/>
      <c r="N224" s="11"/>
      <c r="O224" s="33"/>
      <c r="P224" s="288" t="s">
        <v>206</v>
      </c>
      <c r="Q224" s="52"/>
      <c r="R224" s="48"/>
      <c r="S224" s="48"/>
      <c r="T224" s="25" t="s">
        <v>135</v>
      </c>
    </row>
    <row r="225" spans="1:22" x14ac:dyDescent="0.3">
      <c r="A225" s="1"/>
      <c r="B225" s="1"/>
      <c r="C225" s="4"/>
      <c r="D225" s="4"/>
      <c r="E225" s="4"/>
      <c r="F225" s="11"/>
      <c r="G225" s="11"/>
      <c r="H225" s="11"/>
      <c r="I225" s="11"/>
      <c r="J225" s="11"/>
      <c r="K225" s="11"/>
      <c r="L225" s="11"/>
      <c r="M225" s="11"/>
      <c r="N225" s="11"/>
      <c r="O225" s="33"/>
      <c r="P225" s="52"/>
      <c r="Q225" s="52"/>
      <c r="R225" s="48"/>
      <c r="S225" s="48"/>
    </row>
    <row r="226" spans="1:22" ht="35.4" customHeight="1" x14ac:dyDescent="0.3">
      <c r="A226" s="37" t="s">
        <v>101</v>
      </c>
      <c r="B226" s="1"/>
      <c r="C226" s="4"/>
      <c r="D226" s="4" t="s">
        <v>99</v>
      </c>
      <c r="E226" s="4">
        <v>120.5</v>
      </c>
      <c r="F226" s="11"/>
      <c r="G226" s="11"/>
      <c r="H226" s="18"/>
      <c r="I226" s="18"/>
      <c r="J226" s="2">
        <f>E226</f>
        <v>120.5</v>
      </c>
      <c r="K226" s="11"/>
      <c r="L226" s="11"/>
      <c r="N226" s="11"/>
      <c r="O226" s="58"/>
      <c r="P226" s="53" t="s">
        <v>200</v>
      </c>
      <c r="Q226" s="53" t="s">
        <v>201</v>
      </c>
      <c r="R226" s="53" t="s">
        <v>205</v>
      </c>
      <c r="S226" s="284" t="s">
        <v>207</v>
      </c>
    </row>
    <row r="227" spans="1:22" ht="20.399999999999999" customHeight="1" x14ac:dyDescent="0.3">
      <c r="A227" s="1" t="s">
        <v>152</v>
      </c>
      <c r="B227" s="1"/>
      <c r="C227" s="76" t="s">
        <v>143</v>
      </c>
      <c r="D227" s="4"/>
      <c r="E227" s="4"/>
      <c r="F227" s="11"/>
      <c r="G227" s="11"/>
      <c r="H227" s="18"/>
      <c r="I227" s="18"/>
      <c r="J227" s="11"/>
      <c r="K227" s="11"/>
      <c r="L227" s="1"/>
      <c r="M227" s="38"/>
      <c r="N227" s="11"/>
      <c r="O227" s="33"/>
      <c r="P227" s="52"/>
      <c r="Q227" s="52"/>
      <c r="R227" s="48"/>
      <c r="S227" s="48"/>
      <c r="T227" s="397" t="s">
        <v>240</v>
      </c>
      <c r="V227" s="397"/>
    </row>
    <row r="228" spans="1:22" ht="18" customHeight="1" x14ac:dyDescent="0.3">
      <c r="A228" s="1" t="s">
        <v>153</v>
      </c>
      <c r="B228" s="1"/>
      <c r="C228" s="75" t="s">
        <v>145</v>
      </c>
      <c r="D228" s="4"/>
      <c r="E228" s="4"/>
      <c r="F228" s="11"/>
      <c r="G228" s="11"/>
      <c r="H228" s="18"/>
      <c r="I228" s="18"/>
      <c r="J228" s="11"/>
      <c r="K228" s="11"/>
      <c r="L228" s="11"/>
      <c r="M228" s="11"/>
      <c r="N228" s="11"/>
      <c r="O228" s="33"/>
      <c r="P228" s="52"/>
      <c r="Q228" s="52"/>
      <c r="R228" s="48"/>
      <c r="S228" s="48"/>
      <c r="T228" s="397"/>
      <c r="V228" s="397"/>
    </row>
    <row r="229" spans="1:22" x14ac:dyDescent="0.3">
      <c r="A229" s="1"/>
      <c r="B229" s="1"/>
      <c r="C229" s="4"/>
      <c r="D229" s="4"/>
      <c r="E229" s="4"/>
      <c r="F229" s="11"/>
      <c r="G229" s="11"/>
      <c r="H229" s="11"/>
      <c r="I229" s="11"/>
      <c r="J229" s="11"/>
      <c r="K229" s="11"/>
      <c r="L229" s="11"/>
      <c r="M229" s="11"/>
      <c r="N229" s="11"/>
      <c r="O229" s="33"/>
      <c r="P229" s="52"/>
      <c r="Q229" s="52"/>
      <c r="R229" s="48"/>
      <c r="S229" s="48"/>
      <c r="T229" s="397"/>
      <c r="V229" s="397"/>
    </row>
    <row r="230" spans="1:22" x14ac:dyDescent="0.3">
      <c r="A230" s="37" t="s">
        <v>102</v>
      </c>
      <c r="B230" s="1"/>
      <c r="C230" s="75" t="s">
        <v>145</v>
      </c>
      <c r="D230" s="4" t="s">
        <v>99</v>
      </c>
      <c r="E230" s="4">
        <v>65.040000000000006</v>
      </c>
      <c r="F230" s="11"/>
      <c r="G230" s="11"/>
      <c r="H230" s="18"/>
      <c r="I230" s="18"/>
      <c r="J230" s="1">
        <f>E230</f>
        <v>65.040000000000006</v>
      </c>
      <c r="K230" s="33"/>
      <c r="L230" s="11"/>
      <c r="M230" s="11"/>
      <c r="O230" s="33"/>
      <c r="P230" s="52"/>
      <c r="Q230" s="52"/>
      <c r="R230" s="48"/>
      <c r="S230" s="48"/>
      <c r="T230" s="397"/>
      <c r="V230" s="397"/>
    </row>
    <row r="231" spans="1:22" x14ac:dyDescent="0.3">
      <c r="A231" s="1" t="s">
        <v>155</v>
      </c>
      <c r="B231" s="1"/>
      <c r="C231" s="75" t="s">
        <v>145</v>
      </c>
      <c r="D231" s="4" t="s">
        <v>99</v>
      </c>
      <c r="E231" s="4"/>
      <c r="F231" s="11"/>
      <c r="G231" s="11"/>
      <c r="H231" s="18"/>
      <c r="I231" s="18"/>
      <c r="J231" s="11"/>
      <c r="K231" s="33"/>
      <c r="L231" s="11"/>
      <c r="M231" s="11"/>
      <c r="N231" s="11"/>
      <c r="O231" s="33"/>
      <c r="P231" s="52"/>
      <c r="Q231" s="52"/>
      <c r="R231" s="48"/>
      <c r="S231" s="48"/>
      <c r="T231" s="397"/>
      <c r="V231" s="397"/>
    </row>
    <row r="232" spans="1:22" x14ac:dyDescent="0.3">
      <c r="A232" s="1" t="s">
        <v>156</v>
      </c>
      <c r="B232" s="1"/>
      <c r="C232" s="75" t="s">
        <v>145</v>
      </c>
      <c r="D232" s="4" t="s">
        <v>99</v>
      </c>
      <c r="E232" s="4"/>
      <c r="F232" s="11"/>
      <c r="G232" s="11"/>
      <c r="H232" s="18"/>
      <c r="I232" s="18"/>
      <c r="J232" s="11"/>
      <c r="K232" s="33"/>
      <c r="L232" s="11"/>
      <c r="M232" s="11"/>
      <c r="N232" s="11"/>
      <c r="O232" s="33"/>
      <c r="P232" s="52"/>
      <c r="Q232" s="52"/>
      <c r="R232" s="48"/>
      <c r="S232" s="48"/>
      <c r="T232" s="397"/>
      <c r="V232" s="397"/>
    </row>
    <row r="233" spans="1:22" x14ac:dyDescent="0.3">
      <c r="A233" s="1" t="s">
        <v>157</v>
      </c>
      <c r="B233" s="1"/>
      <c r="C233" s="75" t="s">
        <v>145</v>
      </c>
      <c r="D233" s="4" t="s">
        <v>99</v>
      </c>
      <c r="E233" s="4"/>
      <c r="F233" s="11"/>
      <c r="G233" s="11"/>
      <c r="H233" s="18"/>
      <c r="I233" s="18"/>
      <c r="J233" s="11"/>
      <c r="K233" s="33"/>
      <c r="L233" s="11"/>
      <c r="M233" s="11"/>
      <c r="N233" s="11"/>
      <c r="O233" s="33"/>
      <c r="P233" s="52"/>
      <c r="Q233" s="52"/>
      <c r="R233" s="48"/>
      <c r="S233" s="48"/>
      <c r="T233" s="397"/>
      <c r="V233" s="397"/>
    </row>
    <row r="234" spans="1:22" x14ac:dyDescent="0.3">
      <c r="A234" s="1"/>
      <c r="B234" s="1"/>
      <c r="C234" s="4"/>
      <c r="D234" s="4"/>
      <c r="E234" s="4"/>
      <c r="F234" s="11"/>
      <c r="G234" s="11"/>
      <c r="H234" s="11"/>
      <c r="I234" s="11"/>
      <c r="J234" s="11"/>
      <c r="K234" s="33"/>
      <c r="L234" s="11"/>
      <c r="M234" s="11"/>
      <c r="N234" s="11"/>
      <c r="O234" s="33"/>
      <c r="P234" s="52"/>
      <c r="Q234" s="52"/>
      <c r="R234" s="48"/>
      <c r="S234" s="48"/>
    </row>
    <row r="235" spans="1:22" x14ac:dyDescent="0.3">
      <c r="A235" s="1" t="s">
        <v>122</v>
      </c>
      <c r="B235" s="1"/>
      <c r="C235" s="4"/>
      <c r="D235" s="4" t="s">
        <v>123</v>
      </c>
      <c r="E235" s="4">
        <v>112.1</v>
      </c>
      <c r="F235" s="11"/>
      <c r="G235" s="11"/>
      <c r="H235" s="18"/>
      <c r="I235" s="18"/>
      <c r="J235" s="44">
        <f>E235</f>
        <v>112.1</v>
      </c>
      <c r="K235" s="44"/>
      <c r="L235" s="11"/>
      <c r="M235" s="11"/>
      <c r="N235" s="11"/>
      <c r="P235" s="51"/>
      <c r="Q235" s="51"/>
      <c r="R235" s="48"/>
      <c r="S235" s="48"/>
    </row>
    <row r="236" spans="1:22" x14ac:dyDescent="0.3">
      <c r="A236" s="1"/>
      <c r="B236" s="1"/>
      <c r="C236" s="4"/>
      <c r="D236" s="4"/>
      <c r="E236" s="4"/>
      <c r="F236" s="11"/>
      <c r="G236" s="11"/>
      <c r="H236" s="11"/>
      <c r="I236" s="11"/>
      <c r="J236" s="11"/>
      <c r="K236" s="11"/>
      <c r="L236" s="11"/>
      <c r="M236" s="11"/>
      <c r="N236" s="11"/>
      <c r="O236" s="33"/>
      <c r="P236" s="52"/>
      <c r="Q236" s="52"/>
      <c r="R236" s="48"/>
      <c r="S236" s="48"/>
    </row>
    <row r="237" spans="1:22" x14ac:dyDescent="0.3">
      <c r="A237" s="8" t="s">
        <v>50</v>
      </c>
      <c r="B237" s="8"/>
      <c r="C237" s="4" t="s">
        <v>2</v>
      </c>
      <c r="D237" s="7"/>
      <c r="E237" s="7"/>
      <c r="F237" s="17"/>
      <c r="G237" s="17"/>
      <c r="H237" s="17"/>
      <c r="I237" s="17"/>
      <c r="J237" s="17"/>
      <c r="K237" s="17"/>
      <c r="L237" s="17"/>
      <c r="M237" s="17"/>
      <c r="N237" s="17"/>
      <c r="O237" s="45"/>
      <c r="P237" s="52"/>
      <c r="Q237" s="52"/>
      <c r="R237" s="48"/>
      <c r="S237" s="48"/>
      <c r="T237" s="30" t="s">
        <v>151</v>
      </c>
    </row>
    <row r="238" spans="1:22" ht="14.4" customHeight="1" x14ac:dyDescent="0.3">
      <c r="A238" s="1" t="s">
        <v>63</v>
      </c>
      <c r="B238" s="1"/>
      <c r="C238" s="4"/>
      <c r="D238" s="4" t="s">
        <v>99</v>
      </c>
      <c r="E238" s="4">
        <v>5.73</v>
      </c>
      <c r="F238" s="11"/>
      <c r="G238" s="11"/>
      <c r="H238" s="11"/>
      <c r="I238" s="11"/>
      <c r="J238" s="11"/>
      <c r="K238" s="11"/>
      <c r="L238" s="11"/>
      <c r="M238" s="2"/>
      <c r="N238" s="18"/>
      <c r="O238" s="2">
        <f>G238</f>
        <v>0</v>
      </c>
      <c r="P238" s="52"/>
      <c r="Q238" s="52"/>
      <c r="R238" s="48"/>
      <c r="S238" s="48"/>
      <c r="T238" s="22"/>
    </row>
    <row r="239" spans="1:22" x14ac:dyDescent="0.3">
      <c r="A239" s="1"/>
      <c r="B239" s="1"/>
      <c r="C239" s="4"/>
      <c r="D239" s="4"/>
      <c r="E239" s="4"/>
      <c r="F239" s="11"/>
      <c r="G239" s="11"/>
      <c r="H239" s="11"/>
      <c r="I239" s="11"/>
      <c r="J239" s="11"/>
      <c r="K239" s="11"/>
      <c r="L239" s="11"/>
      <c r="M239" s="11"/>
      <c r="N239" s="11"/>
      <c r="O239" s="33"/>
      <c r="P239" s="52"/>
      <c r="Q239" s="52"/>
      <c r="R239" s="48"/>
      <c r="S239" s="48"/>
      <c r="T239" s="22"/>
    </row>
    <row r="240" spans="1:22" x14ac:dyDescent="0.3">
      <c r="A240" s="1" t="s">
        <v>64</v>
      </c>
      <c r="B240" s="1" t="s">
        <v>51</v>
      </c>
      <c r="C240" s="4"/>
      <c r="D240" s="4" t="s">
        <v>99</v>
      </c>
      <c r="E240" s="4">
        <v>5.73</v>
      </c>
      <c r="F240" s="11"/>
      <c r="G240" s="11"/>
      <c r="H240" s="11"/>
      <c r="I240" s="11"/>
      <c r="J240" s="2"/>
      <c r="K240" s="11"/>
      <c r="L240" s="11"/>
      <c r="M240" s="11"/>
      <c r="N240" s="18"/>
      <c r="O240" s="2">
        <v>5.73</v>
      </c>
      <c r="P240" s="52"/>
      <c r="Q240" s="52"/>
      <c r="R240" s="48"/>
      <c r="S240" s="48"/>
      <c r="T240" s="22" t="s">
        <v>130</v>
      </c>
    </row>
    <row r="241" spans="1:20" x14ac:dyDescent="0.3">
      <c r="A241" s="1"/>
      <c r="B241" s="1"/>
      <c r="C241" s="4"/>
      <c r="D241" s="4"/>
      <c r="E241" s="4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52"/>
      <c r="Q241" s="52"/>
      <c r="R241" s="48"/>
      <c r="S241" s="48"/>
      <c r="T241" s="22"/>
    </row>
    <row r="242" spans="1:20" x14ac:dyDescent="0.3">
      <c r="A242" s="1" t="s">
        <v>66</v>
      </c>
      <c r="B242" s="1" t="s">
        <v>51</v>
      </c>
      <c r="C242" s="4"/>
      <c r="D242" s="4" t="s">
        <v>99</v>
      </c>
      <c r="E242" s="4">
        <v>5.73</v>
      </c>
      <c r="F242" s="11"/>
      <c r="G242" s="11"/>
      <c r="H242" s="11"/>
      <c r="I242" s="11"/>
      <c r="J242" s="11"/>
      <c r="K242" s="2"/>
      <c r="L242" s="11"/>
      <c r="M242" s="11"/>
      <c r="N242" s="18"/>
      <c r="O242" s="2">
        <v>5.73</v>
      </c>
      <c r="P242" s="52"/>
      <c r="Q242" s="52"/>
      <c r="R242" s="48"/>
      <c r="S242" s="48"/>
      <c r="T242" s="22"/>
    </row>
    <row r="243" spans="1:20" x14ac:dyDescent="0.3">
      <c r="A243" s="1"/>
      <c r="B243" s="1"/>
      <c r="C243" s="4"/>
      <c r="D243" s="4"/>
      <c r="E243" s="4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52"/>
      <c r="Q243" s="52"/>
      <c r="R243" s="48"/>
      <c r="S243" s="48"/>
      <c r="T243" s="22"/>
    </row>
    <row r="244" spans="1:20" x14ac:dyDescent="0.3">
      <c r="A244" s="1" t="s">
        <v>67</v>
      </c>
      <c r="B244" s="1" t="s">
        <v>51</v>
      </c>
      <c r="C244" s="4"/>
      <c r="D244" s="4" t="s">
        <v>99</v>
      </c>
      <c r="E244" s="4">
        <v>5.73</v>
      </c>
      <c r="F244" s="11"/>
      <c r="G244" s="11"/>
      <c r="H244" s="11"/>
      <c r="I244" s="11"/>
      <c r="J244" s="11"/>
      <c r="K244" s="2"/>
      <c r="L244" s="11"/>
      <c r="M244" s="11"/>
      <c r="N244" s="18"/>
      <c r="O244" s="2">
        <v>5.73</v>
      </c>
      <c r="P244" s="52"/>
      <c r="Q244" s="52"/>
      <c r="R244" s="48"/>
      <c r="S244" s="48"/>
      <c r="T244" s="22"/>
    </row>
    <row r="245" spans="1:20" x14ac:dyDescent="0.3">
      <c r="A245" s="1"/>
      <c r="B245" s="1"/>
      <c r="C245" s="4"/>
      <c r="D245" s="4"/>
      <c r="E245" s="4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52"/>
      <c r="Q245" s="52"/>
      <c r="R245" s="48"/>
      <c r="S245" s="48"/>
      <c r="T245" s="22"/>
    </row>
    <row r="246" spans="1:20" x14ac:dyDescent="0.3">
      <c r="A246" s="1" t="s">
        <v>70</v>
      </c>
      <c r="B246" s="1" t="s">
        <v>51</v>
      </c>
      <c r="C246" s="4"/>
      <c r="D246" s="4" t="s">
        <v>99</v>
      </c>
      <c r="E246" s="4">
        <v>5.73</v>
      </c>
      <c r="F246" s="11"/>
      <c r="G246" s="11"/>
      <c r="H246" s="11"/>
      <c r="I246" s="11"/>
      <c r="J246" s="11"/>
      <c r="K246" s="2"/>
      <c r="L246" s="11"/>
      <c r="M246" s="11"/>
      <c r="N246" s="18"/>
      <c r="O246" s="2">
        <v>5.73</v>
      </c>
      <c r="P246" s="52"/>
      <c r="Q246" s="52"/>
      <c r="R246" s="48"/>
      <c r="S246" s="48"/>
      <c r="T246" s="22"/>
    </row>
    <row r="247" spans="1:20" x14ac:dyDescent="0.3">
      <c r="A247" s="1"/>
      <c r="B247" s="1"/>
      <c r="C247" s="4"/>
      <c r="D247" s="4"/>
      <c r="E247" s="4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52"/>
      <c r="Q247" s="52"/>
      <c r="R247" s="48"/>
      <c r="S247" s="48"/>
      <c r="T247" s="22"/>
    </row>
    <row r="248" spans="1:20" x14ac:dyDescent="0.3">
      <c r="A248" s="1" t="s">
        <v>71</v>
      </c>
      <c r="B248" s="1"/>
      <c r="C248" s="4"/>
      <c r="D248" s="4" t="s">
        <v>99</v>
      </c>
      <c r="E248" s="4">
        <v>5.73</v>
      </c>
      <c r="F248" s="11"/>
      <c r="G248" s="11"/>
      <c r="H248" s="11"/>
      <c r="I248" s="11"/>
      <c r="J248" s="11"/>
      <c r="K248" s="11"/>
      <c r="L248" s="11"/>
      <c r="M248" s="2"/>
      <c r="N248" s="18"/>
      <c r="O248" s="2">
        <f>G248</f>
        <v>0</v>
      </c>
      <c r="P248" s="52"/>
      <c r="Q248" s="52"/>
      <c r="R248" s="48"/>
      <c r="S248" s="48"/>
      <c r="T248" s="22"/>
    </row>
    <row r="249" spans="1:20" x14ac:dyDescent="0.3">
      <c r="A249" s="1"/>
      <c r="B249" s="1"/>
      <c r="C249" s="4"/>
      <c r="D249" s="4"/>
      <c r="E249" s="4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52"/>
      <c r="Q249" s="52"/>
      <c r="R249" s="48"/>
      <c r="S249" s="48"/>
      <c r="T249" s="22"/>
    </row>
    <row r="250" spans="1:20" x14ac:dyDescent="0.3">
      <c r="A250" s="1" t="s">
        <v>72</v>
      </c>
      <c r="B250" s="1"/>
      <c r="C250" s="4"/>
      <c r="D250" s="4" t="s">
        <v>99</v>
      </c>
      <c r="E250" s="4">
        <v>5.73</v>
      </c>
      <c r="F250" s="11"/>
      <c r="G250" s="11"/>
      <c r="H250" s="11"/>
      <c r="I250" s="11"/>
      <c r="J250" s="11"/>
      <c r="K250" s="11"/>
      <c r="L250" s="11"/>
      <c r="M250" s="2"/>
      <c r="N250" s="18"/>
      <c r="O250" s="2">
        <f>G250</f>
        <v>0</v>
      </c>
      <c r="P250" s="52"/>
      <c r="Q250" s="52"/>
      <c r="R250" s="48"/>
      <c r="S250" s="48"/>
      <c r="T250" s="22"/>
    </row>
    <row r="251" spans="1:20" x14ac:dyDescent="0.3">
      <c r="A251" s="1"/>
      <c r="B251" s="1"/>
      <c r="C251" s="4"/>
      <c r="D251" s="4"/>
      <c r="E251" s="4"/>
      <c r="F251" s="11"/>
      <c r="G251" s="11"/>
      <c r="H251" s="11"/>
      <c r="I251" s="11"/>
      <c r="J251" s="11"/>
      <c r="K251" s="11"/>
      <c r="L251" s="11"/>
      <c r="M251" s="11"/>
      <c r="N251" s="11"/>
      <c r="O251" s="33"/>
      <c r="P251" s="52"/>
      <c r="Q251" s="52"/>
      <c r="R251" s="48"/>
      <c r="S251" s="48"/>
      <c r="T251" s="22"/>
    </row>
    <row r="252" spans="1:20" x14ac:dyDescent="0.3">
      <c r="A252" s="1" t="s">
        <v>74</v>
      </c>
      <c r="B252" s="1"/>
      <c r="C252" s="4"/>
      <c r="D252" s="4" t="s">
        <v>99</v>
      </c>
      <c r="E252" s="4">
        <v>5.73</v>
      </c>
      <c r="F252" s="11"/>
      <c r="G252" s="11"/>
      <c r="H252" s="11"/>
      <c r="I252" s="11"/>
      <c r="J252" s="11"/>
      <c r="K252" s="11"/>
      <c r="L252" s="11"/>
      <c r="M252" s="11"/>
      <c r="N252" s="18"/>
      <c r="O252" s="2">
        <f>F252</f>
        <v>0</v>
      </c>
      <c r="P252" s="52"/>
      <c r="Q252" s="52"/>
      <c r="R252" s="48"/>
      <c r="S252" s="48"/>
      <c r="T252" s="22"/>
    </row>
    <row r="253" spans="1:20" x14ac:dyDescent="0.3">
      <c r="A253" s="1"/>
      <c r="B253" s="1"/>
      <c r="C253" s="4"/>
      <c r="D253" s="4"/>
      <c r="E253" s="4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52"/>
      <c r="Q253" s="52"/>
      <c r="R253" s="48"/>
      <c r="S253" s="48"/>
      <c r="T253" s="22"/>
    </row>
    <row r="254" spans="1:20" x14ac:dyDescent="0.3">
      <c r="A254" s="1" t="s">
        <v>75</v>
      </c>
      <c r="B254" s="1"/>
      <c r="C254" s="4"/>
      <c r="D254" s="4" t="s">
        <v>99</v>
      </c>
      <c r="E254" s="4">
        <v>5.73</v>
      </c>
      <c r="F254" s="11"/>
      <c r="G254" s="11"/>
      <c r="H254" s="11"/>
      <c r="I254" s="11"/>
      <c r="J254" s="11"/>
      <c r="K254" s="11"/>
      <c r="L254" s="11"/>
      <c r="M254" s="11"/>
      <c r="N254" s="18"/>
      <c r="O254" s="2">
        <f>F254</f>
        <v>0</v>
      </c>
      <c r="P254" s="52"/>
      <c r="Q254" s="52"/>
      <c r="R254" s="48"/>
      <c r="S254" s="48"/>
      <c r="T254" s="22"/>
    </row>
    <row r="255" spans="1:20" x14ac:dyDescent="0.3">
      <c r="A255" s="1"/>
      <c r="B255" s="1"/>
      <c r="C255" s="4"/>
      <c r="D255" s="4"/>
      <c r="E255" s="4"/>
      <c r="F255" s="11"/>
      <c r="G255" s="11"/>
      <c r="H255" s="11"/>
      <c r="I255" s="11"/>
      <c r="J255" s="11"/>
      <c r="K255" s="11"/>
      <c r="L255" s="11"/>
      <c r="M255" s="11"/>
      <c r="N255" s="11"/>
      <c r="O255" s="33"/>
      <c r="P255" s="52"/>
      <c r="Q255" s="52"/>
      <c r="R255" s="48"/>
      <c r="S255" s="48"/>
      <c r="T255" s="22"/>
    </row>
    <row r="256" spans="1:20" x14ac:dyDescent="0.3">
      <c r="A256" s="1" t="s">
        <v>77</v>
      </c>
      <c r="B256" s="1" t="s">
        <v>51</v>
      </c>
      <c r="C256" s="4"/>
      <c r="D256" s="4" t="s">
        <v>99</v>
      </c>
      <c r="E256" s="4">
        <v>5.73</v>
      </c>
      <c r="F256" s="11"/>
      <c r="G256" s="11"/>
      <c r="H256" s="11"/>
      <c r="I256" s="11"/>
      <c r="J256" s="11"/>
      <c r="K256" s="2"/>
      <c r="L256" s="11"/>
      <c r="M256" s="11"/>
      <c r="N256" s="18"/>
      <c r="O256" s="2">
        <v>5.73</v>
      </c>
      <c r="P256" s="51"/>
      <c r="Q256" s="51"/>
      <c r="R256" s="48"/>
      <c r="S256" s="48"/>
      <c r="T256" s="22"/>
    </row>
    <row r="257" spans="1:22" x14ac:dyDescent="0.3">
      <c r="A257" s="1"/>
      <c r="B257" s="1"/>
      <c r="C257" s="4"/>
      <c r="D257" s="4"/>
      <c r="E257" s="4"/>
      <c r="F257" s="11"/>
      <c r="G257" s="11"/>
      <c r="H257" s="11"/>
      <c r="I257" s="11"/>
      <c r="J257" s="11"/>
      <c r="K257" s="11"/>
      <c r="L257" s="11"/>
      <c r="M257" s="11"/>
      <c r="N257" s="11"/>
      <c r="O257" s="33"/>
      <c r="P257" s="52"/>
      <c r="Q257" s="52"/>
      <c r="R257" s="48"/>
      <c r="S257" s="48"/>
      <c r="T257" s="22"/>
    </row>
    <row r="258" spans="1:22" x14ac:dyDescent="0.3">
      <c r="A258" s="1" t="s">
        <v>78</v>
      </c>
      <c r="B258" s="1" t="s">
        <v>51</v>
      </c>
      <c r="C258" s="4"/>
      <c r="D258" s="4" t="s">
        <v>99</v>
      </c>
      <c r="E258" s="4">
        <v>5.73</v>
      </c>
      <c r="F258" s="11"/>
      <c r="G258" s="11"/>
      <c r="H258" s="11"/>
      <c r="I258" s="11"/>
      <c r="J258" s="11"/>
      <c r="K258" s="11"/>
      <c r="L258" s="2"/>
      <c r="M258" s="11"/>
      <c r="N258" s="18"/>
      <c r="O258" s="2">
        <v>5.73</v>
      </c>
      <c r="P258" s="51"/>
      <c r="Q258" s="51"/>
      <c r="R258" s="48"/>
      <c r="S258" s="48"/>
      <c r="T258" s="22"/>
    </row>
    <row r="259" spans="1:22" x14ac:dyDescent="0.3">
      <c r="A259" s="1"/>
      <c r="B259" s="1"/>
      <c r="C259" s="4"/>
      <c r="D259" s="4"/>
      <c r="E259" s="4"/>
      <c r="F259" s="11"/>
      <c r="G259" s="11"/>
      <c r="H259" s="11"/>
      <c r="I259" s="11"/>
      <c r="J259" s="11"/>
      <c r="K259" s="11"/>
      <c r="L259" s="11"/>
      <c r="M259" s="11"/>
      <c r="N259" s="11"/>
      <c r="O259" s="33"/>
      <c r="P259" s="52"/>
      <c r="Q259" s="52"/>
      <c r="R259" s="48"/>
      <c r="S259" s="48"/>
      <c r="T259" s="22"/>
    </row>
    <row r="260" spans="1:22" x14ac:dyDescent="0.3">
      <c r="A260" s="1" t="s">
        <v>79</v>
      </c>
      <c r="B260" s="1"/>
      <c r="C260" s="4"/>
      <c r="D260" s="4" t="s">
        <v>99</v>
      </c>
      <c r="E260" s="4">
        <v>5.73</v>
      </c>
      <c r="F260" s="11"/>
      <c r="G260" s="11"/>
      <c r="H260" s="11"/>
      <c r="I260" s="11"/>
      <c r="J260" s="11"/>
      <c r="K260" s="11"/>
      <c r="L260" s="11"/>
      <c r="M260" s="2"/>
      <c r="N260" s="18"/>
      <c r="O260" s="2">
        <v>5.73</v>
      </c>
      <c r="P260" s="51"/>
      <c r="Q260" s="51"/>
      <c r="R260" s="48"/>
      <c r="S260" s="48"/>
      <c r="T260" s="22"/>
    </row>
    <row r="261" spans="1:22" x14ac:dyDescent="0.3">
      <c r="A261" s="1"/>
      <c r="B261" s="1"/>
      <c r="C261" s="4"/>
      <c r="D261" s="4"/>
      <c r="E261" s="4"/>
      <c r="F261" s="11"/>
      <c r="G261" s="11"/>
      <c r="H261" s="11"/>
      <c r="I261" s="11"/>
      <c r="J261" s="11"/>
      <c r="K261" s="11"/>
      <c r="L261" s="11"/>
      <c r="M261" s="11"/>
      <c r="N261" s="11"/>
      <c r="O261" s="33"/>
      <c r="P261" s="52"/>
      <c r="Q261" s="52"/>
      <c r="R261" s="48"/>
      <c r="S261" s="48"/>
      <c r="T261" s="22"/>
    </row>
    <row r="262" spans="1:22" ht="28.8" x14ac:dyDescent="0.3">
      <c r="A262" s="4" t="s">
        <v>97</v>
      </c>
      <c r="B262" s="4"/>
      <c r="C262" s="4" t="s">
        <v>2</v>
      </c>
      <c r="D262" s="4"/>
      <c r="E262" s="4">
        <v>19.22</v>
      </c>
      <c r="F262" s="6"/>
      <c r="G262" s="6"/>
      <c r="H262" s="6"/>
      <c r="I262" s="6"/>
      <c r="J262" s="6"/>
      <c r="K262" s="6"/>
      <c r="L262" s="6"/>
      <c r="M262" s="6"/>
      <c r="N262" s="10"/>
      <c r="O262" s="2">
        <f>E262</f>
        <v>19.22</v>
      </c>
      <c r="P262" s="51"/>
      <c r="Q262" s="51"/>
      <c r="R262" s="48"/>
      <c r="S262" s="48"/>
    </row>
    <row r="263" spans="1:22" ht="36.6" customHeight="1" x14ac:dyDescent="0.3">
      <c r="A263" s="69" t="s">
        <v>7</v>
      </c>
      <c r="B263" s="69"/>
      <c r="C263" s="74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70"/>
      <c r="P263" s="50"/>
      <c r="Q263" s="50"/>
      <c r="R263" s="48"/>
      <c r="S263" s="48"/>
    </row>
    <row r="264" spans="1:22" x14ac:dyDescent="0.3">
      <c r="A264" s="7" t="s">
        <v>4</v>
      </c>
      <c r="B264" s="7"/>
      <c r="C264" s="4" t="s">
        <v>1</v>
      </c>
      <c r="D264" s="7"/>
      <c r="E264" s="7"/>
      <c r="F264" s="9"/>
      <c r="G264" s="9"/>
      <c r="H264" s="9"/>
      <c r="I264" s="9"/>
      <c r="J264" s="9"/>
      <c r="K264" s="9"/>
      <c r="L264" s="9"/>
      <c r="M264" s="9"/>
      <c r="N264" s="9"/>
      <c r="O264" s="43"/>
      <c r="P264" s="49"/>
      <c r="Q264" s="49"/>
      <c r="R264" s="48"/>
      <c r="S264" s="48"/>
    </row>
    <row r="265" spans="1:22" x14ac:dyDescent="0.3">
      <c r="A265" s="8" t="s">
        <v>96</v>
      </c>
      <c r="B265" s="8"/>
      <c r="C265" s="4" t="s">
        <v>3</v>
      </c>
      <c r="D265" s="7"/>
      <c r="E265" s="7"/>
      <c r="F265" s="17"/>
      <c r="G265" s="17"/>
      <c r="H265" s="17"/>
      <c r="I265" s="17"/>
      <c r="J265" s="17"/>
      <c r="K265" s="17"/>
      <c r="L265" s="17"/>
      <c r="M265" s="17"/>
      <c r="N265" s="17"/>
      <c r="O265" s="45"/>
      <c r="P265" s="52"/>
      <c r="Q265" s="52"/>
      <c r="R265" s="48"/>
      <c r="S265" s="48"/>
      <c r="T265" s="24" t="s">
        <v>142</v>
      </c>
    </row>
    <row r="266" spans="1:22" ht="99" customHeight="1" x14ac:dyDescent="0.3">
      <c r="A266" s="62" t="s">
        <v>86</v>
      </c>
      <c r="B266" s="1"/>
      <c r="C266" s="4"/>
      <c r="D266" s="1" t="s">
        <v>104</v>
      </c>
      <c r="E266" s="1">
        <v>49.36</v>
      </c>
      <c r="F266" s="11"/>
      <c r="G266" s="18"/>
      <c r="H266" s="18"/>
      <c r="I266" s="18"/>
      <c r="J266" s="2">
        <f>E266</f>
        <v>49.36</v>
      </c>
      <c r="K266" s="11"/>
      <c r="L266" s="11"/>
      <c r="M266" s="11"/>
      <c r="N266" s="11"/>
      <c r="O266" s="33"/>
      <c r="P266" s="52"/>
      <c r="Q266" s="52"/>
      <c r="R266" s="48"/>
      <c r="S266" s="48"/>
      <c r="T266" s="25" t="s">
        <v>463</v>
      </c>
      <c r="U266" s="247" t="s">
        <v>158</v>
      </c>
      <c r="V266" s="122" t="s">
        <v>412</v>
      </c>
    </row>
    <row r="267" spans="1:22" ht="63" customHeight="1" x14ac:dyDescent="0.3">
      <c r="A267" s="1"/>
      <c r="B267" s="1"/>
      <c r="C267" s="4"/>
      <c r="D267" s="1"/>
      <c r="E267" s="1"/>
      <c r="F267" s="11"/>
      <c r="G267" s="11"/>
      <c r="H267" s="11"/>
      <c r="I267" s="11"/>
      <c r="J267" s="11"/>
      <c r="K267" s="11"/>
      <c r="L267" s="11"/>
      <c r="M267" s="11"/>
      <c r="N267" s="11"/>
      <c r="O267" s="33"/>
      <c r="P267" s="52"/>
      <c r="Q267" s="52"/>
      <c r="R267" s="48"/>
      <c r="S267" s="48"/>
      <c r="T267" s="63" t="s">
        <v>136</v>
      </c>
    </row>
    <row r="268" spans="1:22" ht="43.2" x14ac:dyDescent="0.3">
      <c r="A268" s="62" t="s">
        <v>87</v>
      </c>
      <c r="B268" s="1"/>
      <c r="C268" s="4"/>
      <c r="D268" s="1" t="s">
        <v>104</v>
      </c>
      <c r="E268" s="1">
        <v>27.86</v>
      </c>
      <c r="F268" s="11"/>
      <c r="G268" s="18"/>
      <c r="H268" s="18"/>
      <c r="I268" s="18"/>
      <c r="J268" s="2">
        <f>E268</f>
        <v>27.86</v>
      </c>
      <c r="K268" s="11"/>
      <c r="L268" s="11"/>
      <c r="M268" s="11"/>
      <c r="N268" s="11"/>
      <c r="O268" s="33"/>
      <c r="P268" s="53" t="s">
        <v>208</v>
      </c>
      <c r="Q268" s="52"/>
      <c r="R268" s="48"/>
      <c r="S268" s="48"/>
      <c r="T268" s="25" t="s">
        <v>248</v>
      </c>
    </row>
    <row r="269" spans="1:22" x14ac:dyDescent="0.3">
      <c r="A269" s="1"/>
      <c r="B269" s="1"/>
      <c r="C269" s="4"/>
      <c r="D269" s="1"/>
      <c r="E269" s="1"/>
      <c r="F269" s="11"/>
      <c r="G269" s="11"/>
      <c r="H269" s="11"/>
      <c r="I269" s="11"/>
      <c r="J269" s="11"/>
      <c r="K269" s="11"/>
      <c r="L269" s="11"/>
      <c r="M269" s="11"/>
      <c r="N269" s="11"/>
      <c r="O269" s="33"/>
      <c r="P269" s="52"/>
      <c r="Q269" s="52"/>
      <c r="R269" s="48"/>
      <c r="S269" s="48"/>
    </row>
    <row r="270" spans="1:22" ht="20.100000000000001" customHeight="1" x14ac:dyDescent="0.3">
      <c r="A270" s="8" t="s">
        <v>10</v>
      </c>
      <c r="B270" s="8"/>
      <c r="C270" s="4" t="s">
        <v>3</v>
      </c>
      <c r="D270" s="7"/>
      <c r="E270" s="7"/>
      <c r="F270" s="11"/>
      <c r="G270" s="11"/>
      <c r="H270" s="11"/>
      <c r="I270" s="11"/>
      <c r="J270" s="11"/>
      <c r="K270" s="11"/>
      <c r="L270" s="11"/>
      <c r="M270" s="11"/>
      <c r="N270" s="11"/>
      <c r="O270" s="33"/>
      <c r="P270" s="52"/>
      <c r="Q270" s="52"/>
      <c r="R270" s="48"/>
      <c r="S270" s="48"/>
      <c r="T270" s="30" t="s">
        <v>140</v>
      </c>
    </row>
    <row r="271" spans="1:22" ht="90.6" customHeight="1" x14ac:dyDescent="0.3">
      <c r="A271" s="62" t="s">
        <v>88</v>
      </c>
      <c r="B271" s="1"/>
      <c r="C271" s="59" t="s">
        <v>315</v>
      </c>
      <c r="D271" s="1" t="s">
        <v>105</v>
      </c>
      <c r="E271" s="1">
        <v>6.47</v>
      </c>
      <c r="F271" s="11"/>
      <c r="G271" s="18"/>
      <c r="H271" s="18"/>
      <c r="I271" s="2">
        <f>E271</f>
        <v>6.47</v>
      </c>
      <c r="J271" s="11"/>
      <c r="K271" s="11"/>
      <c r="L271" s="11"/>
      <c r="M271" s="11"/>
      <c r="N271" s="11"/>
      <c r="O271" s="33"/>
      <c r="P271" s="71" t="s">
        <v>174</v>
      </c>
      <c r="Q271" s="71" t="s">
        <v>209</v>
      </c>
      <c r="R271" s="48"/>
      <c r="S271" s="48"/>
      <c r="T271" s="247" t="s">
        <v>328</v>
      </c>
    </row>
    <row r="272" spans="1:22" ht="18" customHeight="1" x14ac:dyDescent="0.3">
      <c r="A272" s="1"/>
      <c r="B272" s="1"/>
      <c r="C272" s="4"/>
      <c r="D272" s="1"/>
      <c r="E272" s="1"/>
      <c r="F272" s="11"/>
      <c r="G272" s="11"/>
      <c r="H272" s="11"/>
      <c r="I272" s="11"/>
      <c r="J272" s="11"/>
      <c r="K272" s="11"/>
      <c r="L272" s="11"/>
      <c r="M272" s="11"/>
      <c r="N272" s="11"/>
      <c r="O272" s="33"/>
      <c r="P272" s="52"/>
      <c r="Q272" s="52"/>
      <c r="R272" s="48"/>
      <c r="S272" s="48"/>
    </row>
    <row r="273" spans="1:21" ht="84" customHeight="1" x14ac:dyDescent="0.3">
      <c r="A273" s="61" t="s">
        <v>89</v>
      </c>
      <c r="B273" s="1"/>
      <c r="C273" s="59" t="s">
        <v>409</v>
      </c>
      <c r="D273" s="1" t="s">
        <v>105</v>
      </c>
      <c r="E273" s="1">
        <v>6.5</v>
      </c>
      <c r="F273" s="11"/>
      <c r="G273" s="11"/>
      <c r="H273" s="18"/>
      <c r="I273" s="18"/>
      <c r="J273" s="2">
        <f>E273</f>
        <v>6.5</v>
      </c>
      <c r="K273" s="11"/>
      <c r="L273" s="11"/>
      <c r="M273" s="11"/>
      <c r="N273" s="11"/>
      <c r="O273" s="33"/>
      <c r="P273" s="71" t="s">
        <v>209</v>
      </c>
      <c r="Q273" s="287" t="s">
        <v>247</v>
      </c>
      <c r="R273" s="48"/>
      <c r="S273" s="48"/>
      <c r="T273" s="247" t="s">
        <v>331</v>
      </c>
    </row>
    <row r="274" spans="1:21" x14ac:dyDescent="0.3">
      <c r="A274" s="1"/>
      <c r="B274" s="1"/>
      <c r="C274" s="4"/>
      <c r="D274" s="1"/>
      <c r="E274" s="1"/>
      <c r="F274" s="11"/>
      <c r="G274" s="11"/>
      <c r="H274" s="11"/>
      <c r="I274" s="11"/>
      <c r="J274" s="11"/>
      <c r="K274" s="11"/>
      <c r="L274" s="11"/>
      <c r="M274" s="11"/>
      <c r="N274" s="11"/>
      <c r="O274" s="33"/>
      <c r="P274" s="52"/>
      <c r="Q274" s="52"/>
      <c r="R274" s="48"/>
      <c r="S274" s="48"/>
    </row>
    <row r="275" spans="1:21" x14ac:dyDescent="0.3">
      <c r="A275" s="1" t="s">
        <v>90</v>
      </c>
      <c r="B275" s="1"/>
      <c r="C275" s="4"/>
      <c r="D275" s="1" t="s">
        <v>105</v>
      </c>
      <c r="E275" s="1">
        <v>0.24</v>
      </c>
      <c r="F275" s="11"/>
      <c r="G275" s="11"/>
      <c r="H275" s="11"/>
      <c r="I275" s="11"/>
      <c r="J275" s="11"/>
      <c r="K275" s="18"/>
      <c r="L275" s="2">
        <f>E275</f>
        <v>0.24</v>
      </c>
      <c r="M275" s="11"/>
      <c r="N275" s="11"/>
      <c r="O275" s="33"/>
      <c r="P275" s="52"/>
      <c r="Q275" s="52"/>
      <c r="R275" s="48"/>
      <c r="S275" s="48"/>
      <c r="T275" s="24" t="s">
        <v>242</v>
      </c>
    </row>
    <row r="276" spans="1:21" x14ac:dyDescent="0.3">
      <c r="A276" s="1"/>
      <c r="B276" s="1"/>
      <c r="C276" s="4"/>
      <c r="D276" s="1"/>
      <c r="E276" s="1"/>
      <c r="F276" s="11"/>
      <c r="G276" s="11"/>
      <c r="H276" s="11"/>
      <c r="I276" s="11"/>
      <c r="J276" s="11"/>
      <c r="K276" s="11"/>
      <c r="L276" s="11"/>
      <c r="M276" s="11"/>
      <c r="N276" s="11"/>
      <c r="O276" s="33"/>
      <c r="P276" s="52"/>
      <c r="Q276" s="52"/>
      <c r="R276" s="48"/>
      <c r="S276" s="48"/>
    </row>
    <row r="277" spans="1:21" ht="43.2" x14ac:dyDescent="0.3">
      <c r="A277" s="62" t="s">
        <v>91</v>
      </c>
      <c r="B277" s="1"/>
      <c r="C277" s="59" t="s">
        <v>407</v>
      </c>
      <c r="D277" s="1" t="s">
        <v>105</v>
      </c>
      <c r="E277" s="1">
        <v>6.46</v>
      </c>
      <c r="F277" s="11"/>
      <c r="G277" s="11"/>
      <c r="H277" s="11"/>
      <c r="I277" s="18"/>
      <c r="J277" s="2">
        <f>E277</f>
        <v>6.46</v>
      </c>
      <c r="K277" s="11"/>
      <c r="L277" s="11"/>
      <c r="M277" s="11"/>
      <c r="N277" s="11"/>
      <c r="O277" s="33"/>
      <c r="P277" s="71" t="s">
        <v>209</v>
      </c>
      <c r="Q277" s="71" t="s">
        <v>210</v>
      </c>
      <c r="R277" s="53"/>
      <c r="S277" s="48"/>
      <c r="T277" s="247" t="s">
        <v>332</v>
      </c>
    </row>
    <row r="278" spans="1:21" x14ac:dyDescent="0.3">
      <c r="A278" s="1"/>
      <c r="B278" s="1"/>
      <c r="C278" s="4"/>
      <c r="D278" s="1"/>
      <c r="E278" s="1"/>
      <c r="F278" s="11"/>
      <c r="G278" s="11"/>
      <c r="H278" s="11"/>
      <c r="I278" s="11"/>
      <c r="J278" s="11"/>
      <c r="K278" s="11"/>
      <c r="L278" s="11"/>
      <c r="M278" s="11"/>
      <c r="N278" s="11"/>
      <c r="O278" s="33"/>
      <c r="P278" s="52"/>
      <c r="Q278" s="52"/>
      <c r="R278" s="48"/>
      <c r="S278" s="48"/>
    </row>
    <row r="279" spans="1:21" x14ac:dyDescent="0.3">
      <c r="A279" s="1" t="s">
        <v>92</v>
      </c>
      <c r="B279" s="1"/>
      <c r="C279" s="4"/>
      <c r="D279" s="1" t="s">
        <v>105</v>
      </c>
      <c r="E279" s="1">
        <v>0.28999999999999998</v>
      </c>
      <c r="F279" s="11"/>
      <c r="G279" s="11"/>
      <c r="H279" s="11"/>
      <c r="I279" s="11"/>
      <c r="J279" s="11"/>
      <c r="K279" s="18"/>
      <c r="L279" s="2">
        <f>E279</f>
        <v>0.28999999999999998</v>
      </c>
      <c r="M279" s="11"/>
      <c r="N279" s="11"/>
      <c r="O279" s="33"/>
      <c r="P279" s="52"/>
      <c r="Q279" s="52"/>
      <c r="R279" s="48"/>
      <c r="S279" s="48"/>
      <c r="T279" s="24" t="s">
        <v>243</v>
      </c>
    </row>
    <row r="280" spans="1:21" x14ac:dyDescent="0.3">
      <c r="A280" s="1"/>
      <c r="B280" s="1"/>
      <c r="C280" s="4"/>
      <c r="D280" s="1"/>
      <c r="E280" s="1"/>
      <c r="F280" s="11"/>
      <c r="G280" s="11"/>
      <c r="H280" s="11"/>
      <c r="I280" s="11"/>
      <c r="J280" s="11"/>
      <c r="K280" s="11"/>
      <c r="L280" s="11"/>
      <c r="M280" s="11"/>
      <c r="N280" s="11"/>
      <c r="O280" s="33"/>
      <c r="P280" s="52"/>
      <c r="Q280" s="52"/>
      <c r="R280" s="48"/>
      <c r="S280" s="48"/>
    </row>
    <row r="281" spans="1:21" ht="28.8" x14ac:dyDescent="0.3">
      <c r="A281" s="61" t="s">
        <v>93</v>
      </c>
      <c r="B281" s="1"/>
      <c r="C281" s="59" t="s">
        <v>410</v>
      </c>
      <c r="D281" s="1" t="s">
        <v>105</v>
      </c>
      <c r="E281" s="1">
        <v>6.47</v>
      </c>
      <c r="F281" s="11"/>
      <c r="G281" s="11"/>
      <c r="H281" s="11"/>
      <c r="I281" s="18"/>
      <c r="J281" s="18"/>
      <c r="K281" s="2">
        <f>E281</f>
        <v>6.47</v>
      </c>
      <c r="L281" s="11"/>
      <c r="M281" s="11"/>
      <c r="N281" s="11"/>
      <c r="O281" s="33"/>
      <c r="P281" s="71" t="s">
        <v>209</v>
      </c>
      <c r="Q281" s="71" t="s">
        <v>210</v>
      </c>
      <c r="R281" s="48"/>
      <c r="S281" s="48"/>
      <c r="T281" s="24" t="s">
        <v>330</v>
      </c>
      <c r="U281" s="247" t="s">
        <v>137</v>
      </c>
    </row>
    <row r="282" spans="1:21" x14ac:dyDescent="0.3">
      <c r="A282" s="1"/>
      <c r="B282" s="1"/>
      <c r="C282" s="4"/>
      <c r="D282" s="1"/>
      <c r="E282" s="1"/>
      <c r="F282" s="11"/>
      <c r="G282" s="11"/>
      <c r="H282" s="11"/>
      <c r="I282" s="11"/>
      <c r="J282" s="11"/>
      <c r="K282" s="11"/>
      <c r="L282" s="11"/>
      <c r="M282" s="11"/>
      <c r="N282" s="11"/>
      <c r="O282" s="33"/>
      <c r="P282" s="52"/>
      <c r="Q282" s="52"/>
      <c r="R282" s="48"/>
      <c r="S282" s="48"/>
    </row>
    <row r="283" spans="1:21" x14ac:dyDescent="0.3">
      <c r="A283" s="1" t="s">
        <v>94</v>
      </c>
      <c r="B283" s="1"/>
      <c r="C283" s="4"/>
      <c r="D283" s="1" t="s">
        <v>105</v>
      </c>
      <c r="E283" s="1">
        <v>0.28000000000000003</v>
      </c>
      <c r="F283" s="11"/>
      <c r="G283" s="11"/>
      <c r="H283" s="11"/>
      <c r="I283" s="11"/>
      <c r="J283" s="11"/>
      <c r="K283" s="18"/>
      <c r="L283" s="2">
        <f>E283</f>
        <v>0.28000000000000003</v>
      </c>
      <c r="M283" s="11"/>
      <c r="N283" s="11"/>
      <c r="O283" s="33"/>
      <c r="P283" s="52"/>
      <c r="Q283" s="52"/>
      <c r="R283" s="48"/>
      <c r="S283" s="48"/>
      <c r="T283" s="24" t="s">
        <v>244</v>
      </c>
    </row>
    <row r="284" spans="1:21" x14ac:dyDescent="0.3">
      <c r="A284" s="1"/>
      <c r="B284" s="1"/>
      <c r="C284" s="4"/>
      <c r="D284" s="1"/>
      <c r="E284" s="1"/>
      <c r="F284" s="11"/>
      <c r="G284" s="11"/>
      <c r="H284" s="11"/>
      <c r="I284" s="11"/>
      <c r="J284" s="11"/>
      <c r="K284" s="11"/>
      <c r="L284" s="11"/>
      <c r="M284" s="11"/>
      <c r="N284" s="11"/>
      <c r="O284" s="33"/>
      <c r="P284" s="52"/>
      <c r="Q284" s="52"/>
      <c r="R284" s="48"/>
      <c r="S284" s="48"/>
    </row>
    <row r="285" spans="1:21" ht="72" x14ac:dyDescent="0.3">
      <c r="A285" s="62" t="s">
        <v>95</v>
      </c>
      <c r="B285" s="1"/>
      <c r="C285" s="59" t="s">
        <v>407</v>
      </c>
      <c r="D285" s="1" t="s">
        <v>105</v>
      </c>
      <c r="E285" s="1">
        <v>6.49</v>
      </c>
      <c r="F285" s="11"/>
      <c r="G285" s="11"/>
      <c r="H285" s="11"/>
      <c r="I285" s="18"/>
      <c r="J285" s="18"/>
      <c r="K285" s="2">
        <f>E285</f>
        <v>6.49</v>
      </c>
      <c r="L285" s="11"/>
      <c r="M285" s="11"/>
      <c r="N285" s="11"/>
      <c r="O285" s="33"/>
      <c r="P285" s="71" t="s">
        <v>209</v>
      </c>
      <c r="Q285" s="71" t="s">
        <v>210</v>
      </c>
      <c r="R285" s="48"/>
      <c r="S285" s="48"/>
      <c r="T285" s="247" t="s">
        <v>329</v>
      </c>
      <c r="U285" s="249" t="s">
        <v>334</v>
      </c>
    </row>
    <row r="286" spans="1:21" x14ac:dyDescent="0.3">
      <c r="A286" s="1"/>
      <c r="B286" s="1"/>
      <c r="C286" s="4"/>
      <c r="D286" s="1"/>
      <c r="E286" s="1"/>
      <c r="F286" s="11"/>
      <c r="G286" s="11"/>
      <c r="H286" s="11"/>
      <c r="I286" s="11"/>
      <c r="J286" s="11"/>
      <c r="K286" s="11"/>
      <c r="L286" s="11"/>
      <c r="M286" s="11"/>
      <c r="N286" s="11"/>
      <c r="O286" s="33"/>
      <c r="P286" s="52"/>
      <c r="Q286" s="52"/>
      <c r="R286" s="48"/>
      <c r="S286" s="48"/>
    </row>
    <row r="287" spans="1:21" x14ac:dyDescent="0.3">
      <c r="A287" s="8" t="s">
        <v>11</v>
      </c>
      <c r="B287" s="8"/>
      <c r="C287" s="4" t="s">
        <v>1</v>
      </c>
      <c r="D287" s="7"/>
      <c r="E287" s="7"/>
      <c r="F287" s="17"/>
      <c r="G287" s="17"/>
      <c r="H287" s="17"/>
      <c r="I287" s="17"/>
      <c r="J287" s="17"/>
      <c r="K287" s="17"/>
      <c r="L287" s="17"/>
      <c r="M287" s="17"/>
      <c r="N287" s="17"/>
      <c r="O287" s="45"/>
      <c r="P287" s="52"/>
      <c r="Q287" s="52"/>
      <c r="R287" s="48"/>
      <c r="S287" s="48"/>
    </row>
    <row r="288" spans="1:21" ht="185.4" customHeight="1" x14ac:dyDescent="0.3">
      <c r="A288" s="62" t="s">
        <v>86</v>
      </c>
      <c r="B288" s="1"/>
      <c r="C288" s="75" t="s">
        <v>145</v>
      </c>
      <c r="D288" s="4" t="s">
        <v>99</v>
      </c>
      <c r="E288" s="4">
        <v>190.14</v>
      </c>
      <c r="F288" s="11"/>
      <c r="G288" s="11"/>
      <c r="H288" s="11"/>
      <c r="I288" s="2">
        <f>E288</f>
        <v>190.14</v>
      </c>
      <c r="J288" s="11"/>
      <c r="K288" s="11"/>
      <c r="L288" s="11"/>
      <c r="M288" s="11"/>
      <c r="N288" s="11"/>
      <c r="O288" s="33"/>
      <c r="P288" s="53" t="s">
        <v>190</v>
      </c>
      <c r="Q288" s="71" t="s">
        <v>262</v>
      </c>
      <c r="R288" s="71" t="s">
        <v>222</v>
      </c>
      <c r="S288" s="53"/>
      <c r="T288" s="247" t="s">
        <v>236</v>
      </c>
    </row>
    <row r="289" spans="1:21" ht="18" customHeight="1" x14ac:dyDescent="0.3">
      <c r="A289" s="1"/>
      <c r="B289" s="1"/>
      <c r="C289" s="4"/>
      <c r="D289" s="4"/>
      <c r="E289" s="4"/>
      <c r="F289" s="11"/>
      <c r="G289" s="11"/>
      <c r="H289" s="11"/>
      <c r="I289" s="11"/>
      <c r="J289" s="11"/>
      <c r="K289" s="11"/>
      <c r="L289" s="11"/>
      <c r="M289" s="11"/>
      <c r="N289" s="11"/>
      <c r="O289" s="33"/>
      <c r="P289" s="52"/>
      <c r="Q289" s="52"/>
      <c r="R289" s="48"/>
      <c r="S289" s="48"/>
    </row>
    <row r="290" spans="1:21" ht="134.1" customHeight="1" x14ac:dyDescent="0.3">
      <c r="A290" s="62" t="s">
        <v>87</v>
      </c>
      <c r="B290" s="1"/>
      <c r="C290" s="75" t="s">
        <v>145</v>
      </c>
      <c r="D290" s="4" t="s">
        <v>99</v>
      </c>
      <c r="E290" s="4">
        <v>167.35</v>
      </c>
      <c r="F290" s="11"/>
      <c r="G290" s="11"/>
      <c r="H290" s="2">
        <f>E290</f>
        <v>167.35</v>
      </c>
      <c r="I290" s="11"/>
      <c r="J290" s="11"/>
      <c r="K290" s="11"/>
      <c r="L290" s="11"/>
      <c r="M290" s="11"/>
      <c r="N290" s="11"/>
      <c r="O290" s="33"/>
      <c r="P290" s="53" t="s">
        <v>190</v>
      </c>
      <c r="Q290" s="52"/>
      <c r="R290" s="48"/>
      <c r="S290" s="48"/>
      <c r="T290" s="65" t="s">
        <v>278</v>
      </c>
      <c r="U290" s="247" t="s">
        <v>411</v>
      </c>
    </row>
    <row r="291" spans="1:21" ht="66.599999999999994" customHeight="1" x14ac:dyDescent="0.3">
      <c r="A291" s="1"/>
      <c r="B291" s="1"/>
      <c r="C291" s="4"/>
      <c r="D291" s="4"/>
      <c r="E291" s="4"/>
      <c r="F291" s="11"/>
      <c r="G291" s="11"/>
      <c r="H291" s="11"/>
      <c r="I291" s="11"/>
      <c r="J291" s="11"/>
      <c r="K291" s="11"/>
      <c r="L291" s="11"/>
      <c r="M291" s="11"/>
      <c r="N291" s="11"/>
      <c r="O291" s="33"/>
      <c r="P291" s="52"/>
      <c r="Q291" s="52"/>
      <c r="R291" s="48"/>
      <c r="S291" s="48"/>
      <c r="T291" s="247" t="s">
        <v>275</v>
      </c>
    </row>
    <row r="292" spans="1:21" ht="15.6" x14ac:dyDescent="0.3">
      <c r="A292" s="1" t="s">
        <v>122</v>
      </c>
      <c r="B292" s="1"/>
      <c r="C292" s="4"/>
      <c r="D292" s="4" t="s">
        <v>123</v>
      </c>
      <c r="E292" s="4">
        <v>57.01</v>
      </c>
      <c r="F292" s="11"/>
      <c r="G292" s="11"/>
      <c r="H292" s="11"/>
      <c r="I292" s="11"/>
      <c r="J292" s="11"/>
      <c r="K292" s="11"/>
      <c r="L292" s="18"/>
      <c r="M292" s="18"/>
      <c r="N292" s="2">
        <f>E292</f>
        <v>57.01</v>
      </c>
      <c r="O292" s="33"/>
      <c r="P292" s="52"/>
      <c r="Q292" s="52"/>
      <c r="R292" s="48"/>
      <c r="S292" s="48"/>
      <c r="T292" s="23"/>
    </row>
    <row r="293" spans="1:21" x14ac:dyDescent="0.3">
      <c r="A293" s="1"/>
      <c r="B293" s="1"/>
      <c r="C293" s="4"/>
      <c r="D293" s="4"/>
      <c r="E293" s="4"/>
      <c r="F293" s="11"/>
      <c r="G293" s="11"/>
      <c r="H293" s="11"/>
      <c r="I293" s="11"/>
      <c r="J293" s="11"/>
      <c r="K293" s="11"/>
      <c r="L293" s="11"/>
      <c r="M293" s="11"/>
      <c r="N293" s="11"/>
      <c r="O293" s="33"/>
      <c r="P293" s="52"/>
      <c r="Q293" s="52"/>
      <c r="R293" s="48"/>
      <c r="S293" s="48"/>
    </row>
    <row r="294" spans="1:21" x14ac:dyDescent="0.3">
      <c r="A294" s="8" t="s">
        <v>50</v>
      </c>
      <c r="B294" s="8"/>
      <c r="C294" s="4" t="s">
        <v>3</v>
      </c>
      <c r="D294" s="7"/>
      <c r="E294" s="7"/>
      <c r="F294" s="17"/>
      <c r="G294" s="17"/>
      <c r="H294" s="17"/>
      <c r="I294" s="17"/>
      <c r="J294" s="17"/>
      <c r="K294" s="17"/>
      <c r="L294" s="17"/>
      <c r="M294" s="17"/>
      <c r="N294" s="17"/>
      <c r="O294" s="45"/>
      <c r="P294" s="52"/>
      <c r="Q294" s="52"/>
      <c r="R294" s="48"/>
      <c r="S294" s="48"/>
      <c r="T294" s="30" t="s">
        <v>151</v>
      </c>
    </row>
    <row r="295" spans="1:21" x14ac:dyDescent="0.3">
      <c r="A295" s="1" t="s">
        <v>88</v>
      </c>
      <c r="B295" s="1"/>
      <c r="C295" s="4"/>
      <c r="D295" s="4" t="s">
        <v>99</v>
      </c>
      <c r="E295" s="4">
        <v>5.73</v>
      </c>
      <c r="F295" s="11"/>
      <c r="G295" s="11"/>
      <c r="H295" s="11"/>
      <c r="I295" s="11"/>
      <c r="J295" s="11"/>
      <c r="K295" s="11"/>
      <c r="L295" s="11"/>
      <c r="M295" s="11"/>
      <c r="N295" s="18"/>
      <c r="O295" s="2">
        <f>E295</f>
        <v>5.73</v>
      </c>
      <c r="P295" s="52"/>
      <c r="Q295" s="52"/>
      <c r="R295" s="48"/>
      <c r="S295" s="48"/>
      <c r="T295" s="247" t="s">
        <v>130</v>
      </c>
    </row>
    <row r="296" spans="1:21" x14ac:dyDescent="0.3">
      <c r="A296" s="1"/>
      <c r="B296" s="1"/>
      <c r="C296" s="4"/>
      <c r="D296" s="4"/>
      <c r="E296" s="4"/>
      <c r="F296" s="11"/>
      <c r="G296" s="11"/>
      <c r="H296" s="11"/>
      <c r="I296" s="11"/>
      <c r="J296" s="11"/>
      <c r="K296" s="11"/>
      <c r="L296" s="11"/>
      <c r="M296" s="11"/>
      <c r="N296" s="11"/>
      <c r="O296" s="33"/>
      <c r="P296" s="52"/>
      <c r="Q296" s="52"/>
      <c r="R296" s="48"/>
      <c r="S296" s="48"/>
    </row>
    <row r="297" spans="1:21" x14ac:dyDescent="0.3">
      <c r="A297" s="1" t="s">
        <v>89</v>
      </c>
      <c r="B297" s="1"/>
      <c r="C297" s="4"/>
      <c r="D297" s="4" t="s">
        <v>99</v>
      </c>
      <c r="E297" s="4">
        <v>5.73</v>
      </c>
      <c r="F297" s="11"/>
      <c r="G297" s="11"/>
      <c r="H297" s="11"/>
      <c r="I297" s="11"/>
      <c r="J297" s="11"/>
      <c r="K297" s="11"/>
      <c r="L297" s="11"/>
      <c r="M297" s="11"/>
      <c r="N297" s="18"/>
      <c r="O297" s="2">
        <f>E297</f>
        <v>5.73</v>
      </c>
      <c r="P297" s="52"/>
      <c r="Q297" s="52"/>
      <c r="R297" s="48"/>
      <c r="S297" s="48"/>
      <c r="T297" s="247" t="s">
        <v>130</v>
      </c>
    </row>
    <row r="298" spans="1:21" x14ac:dyDescent="0.3">
      <c r="A298" s="1"/>
      <c r="B298" s="1"/>
      <c r="C298" s="4"/>
      <c r="D298" s="4"/>
      <c r="E298" s="4"/>
      <c r="F298" s="11"/>
      <c r="G298" s="11"/>
      <c r="H298" s="11"/>
      <c r="I298" s="11"/>
      <c r="J298" s="11"/>
      <c r="K298" s="11"/>
      <c r="L298" s="11"/>
      <c r="M298" s="11"/>
      <c r="N298" s="11"/>
      <c r="O298" s="33"/>
      <c r="P298" s="52"/>
      <c r="Q298" s="52"/>
      <c r="R298" s="48"/>
      <c r="S298" s="48"/>
    </row>
    <row r="299" spans="1:21" ht="32.4" customHeight="1" x14ac:dyDescent="0.3">
      <c r="A299" s="1" t="s">
        <v>91</v>
      </c>
      <c r="B299" s="1"/>
      <c r="C299" s="4"/>
      <c r="D299" s="4" t="s">
        <v>99</v>
      </c>
      <c r="E299" s="4">
        <v>5.73</v>
      </c>
      <c r="F299" s="11"/>
      <c r="G299" s="11"/>
      <c r="H299" s="11"/>
      <c r="I299" s="11"/>
      <c r="J299" s="11"/>
      <c r="K299" s="11"/>
      <c r="L299" s="11"/>
      <c r="M299" s="11"/>
      <c r="N299" s="18"/>
      <c r="O299" s="2">
        <f>E299</f>
        <v>5.73</v>
      </c>
      <c r="P299" s="53" t="s">
        <v>263</v>
      </c>
      <c r="Q299" s="52"/>
      <c r="R299" s="48"/>
      <c r="S299" s="48"/>
      <c r="T299" s="247" t="s">
        <v>130</v>
      </c>
    </row>
    <row r="300" spans="1:21" x14ac:dyDescent="0.3">
      <c r="A300" s="1"/>
      <c r="B300" s="1"/>
      <c r="C300" s="4"/>
      <c r="D300" s="4"/>
      <c r="E300" s="4"/>
      <c r="F300" s="11"/>
      <c r="G300" s="11"/>
      <c r="H300" s="11"/>
      <c r="I300" s="11"/>
      <c r="J300" s="11"/>
      <c r="K300" s="11"/>
      <c r="L300" s="11"/>
      <c r="M300" s="11"/>
      <c r="N300" s="11"/>
      <c r="O300" s="33"/>
      <c r="P300" s="52"/>
      <c r="Q300" s="52"/>
      <c r="R300" s="48"/>
      <c r="S300" s="48"/>
    </row>
    <row r="301" spans="1:21" x14ac:dyDescent="0.3">
      <c r="A301" s="1" t="s">
        <v>93</v>
      </c>
      <c r="B301" s="1"/>
      <c r="C301" s="4"/>
      <c r="D301" s="4" t="s">
        <v>99</v>
      </c>
      <c r="E301" s="4">
        <v>5.73</v>
      </c>
      <c r="F301" s="11"/>
      <c r="G301" s="11"/>
      <c r="H301" s="11"/>
      <c r="I301" s="11"/>
      <c r="J301" s="11"/>
      <c r="K301" s="11"/>
      <c r="L301" s="11"/>
      <c r="M301" s="11"/>
      <c r="N301" s="18"/>
      <c r="O301" s="2">
        <f>E301</f>
        <v>5.73</v>
      </c>
      <c r="P301" s="53" t="s">
        <v>211</v>
      </c>
      <c r="Q301" s="53" t="s">
        <v>212</v>
      </c>
      <c r="R301" s="48"/>
      <c r="S301" s="48"/>
      <c r="T301" s="247" t="s">
        <v>125</v>
      </c>
    </row>
    <row r="302" spans="1:21" x14ac:dyDescent="0.3">
      <c r="A302" s="1"/>
      <c r="B302" s="1"/>
      <c r="C302" s="4"/>
      <c r="D302" s="4"/>
      <c r="E302" s="4"/>
      <c r="F302" s="11"/>
      <c r="G302" s="11"/>
      <c r="H302" s="11"/>
      <c r="I302" s="11"/>
      <c r="J302" s="11"/>
      <c r="K302" s="11"/>
      <c r="L302" s="11"/>
      <c r="M302" s="11"/>
      <c r="N302" s="11"/>
      <c r="O302" s="33"/>
      <c r="P302" s="52"/>
      <c r="Q302" s="52"/>
      <c r="R302" s="48"/>
      <c r="S302" s="48"/>
    </row>
    <row r="303" spans="1:21" x14ac:dyDescent="0.3">
      <c r="A303" s="1" t="s">
        <v>95</v>
      </c>
      <c r="B303" s="1"/>
      <c r="C303" s="4"/>
      <c r="D303" s="4" t="s">
        <v>99</v>
      </c>
      <c r="E303" s="4">
        <v>5.73</v>
      </c>
      <c r="F303" s="11"/>
      <c r="G303" s="11"/>
      <c r="H303" s="11"/>
      <c r="I303" s="11"/>
      <c r="J303" s="11"/>
      <c r="K303" s="11"/>
      <c r="L303" s="11"/>
      <c r="M303" s="11"/>
      <c r="N303" s="18"/>
      <c r="O303" s="2">
        <f>E303</f>
        <v>5.73</v>
      </c>
      <c r="P303" s="53" t="s">
        <v>211</v>
      </c>
      <c r="Q303" s="53" t="s">
        <v>212</v>
      </c>
      <c r="R303" s="48"/>
      <c r="S303" s="48"/>
      <c r="T303" s="247" t="s">
        <v>125</v>
      </c>
    </row>
    <row r="304" spans="1:21" x14ac:dyDescent="0.3">
      <c r="A304" s="1"/>
      <c r="B304" s="1"/>
      <c r="C304" s="4"/>
      <c r="D304" s="4"/>
      <c r="E304" s="4"/>
      <c r="F304" s="11"/>
      <c r="G304" s="11"/>
      <c r="H304" s="11"/>
      <c r="I304" s="11"/>
      <c r="J304" s="11"/>
      <c r="K304" s="11"/>
      <c r="L304" s="11"/>
      <c r="M304" s="11"/>
      <c r="N304" s="11"/>
      <c r="O304" s="33"/>
      <c r="P304" s="52"/>
      <c r="Q304" s="52"/>
      <c r="R304" s="48"/>
      <c r="S304" s="48"/>
    </row>
    <row r="305" spans="1:20" ht="43.2" x14ac:dyDescent="0.3">
      <c r="A305" s="4" t="s">
        <v>119</v>
      </c>
      <c r="B305" s="4"/>
      <c r="C305" s="4" t="s">
        <v>3</v>
      </c>
      <c r="D305" s="4" t="s">
        <v>105</v>
      </c>
      <c r="E305" s="4">
        <v>4.8499999999999996</v>
      </c>
      <c r="F305" s="6"/>
      <c r="G305" s="6"/>
      <c r="H305" s="11"/>
      <c r="I305" s="6"/>
      <c r="J305" s="6"/>
      <c r="K305" s="6"/>
      <c r="L305" s="6"/>
      <c r="M305" s="11"/>
      <c r="N305" s="10"/>
      <c r="O305" s="1">
        <f>E305</f>
        <v>4.8499999999999996</v>
      </c>
      <c r="P305" s="49"/>
      <c r="Q305" s="49"/>
      <c r="R305" s="48"/>
      <c r="S305" s="48"/>
    </row>
    <row r="307" spans="1:20" ht="28.8" x14ac:dyDescent="0.3">
      <c r="T307" s="25" t="s">
        <v>249</v>
      </c>
    </row>
    <row r="309" spans="1:20" ht="118.5" customHeight="1" x14ac:dyDescent="0.3">
      <c r="T309" s="249" t="s">
        <v>281</v>
      </c>
    </row>
  </sheetData>
  <autoFilter ref="D2:D309" xr:uid="{00000000-0009-0000-0000-000000000000}"/>
  <mergeCells count="30">
    <mergeCell ref="U22:U35"/>
    <mergeCell ref="T136:T140"/>
    <mergeCell ref="T101:T107"/>
    <mergeCell ref="T42:T43"/>
    <mergeCell ref="T22:T35"/>
    <mergeCell ref="A9:A10"/>
    <mergeCell ref="H9:I9"/>
    <mergeCell ref="J9:K9"/>
    <mergeCell ref="L9:M9"/>
    <mergeCell ref="N9:O9"/>
    <mergeCell ref="B9:B10"/>
    <mergeCell ref="P9:S9"/>
    <mergeCell ref="T9:U9"/>
    <mergeCell ref="C9:C10"/>
    <mergeCell ref="D9:D10"/>
    <mergeCell ref="F9:G9"/>
    <mergeCell ref="T227:T233"/>
    <mergeCell ref="V101:V107"/>
    <mergeCell ref="V227:V233"/>
    <mergeCell ref="T36:T37"/>
    <mergeCell ref="U36:U37"/>
    <mergeCell ref="T52:T55"/>
    <mergeCell ref="U52:U55"/>
    <mergeCell ref="T48:T49"/>
    <mergeCell ref="U48:U49"/>
    <mergeCell ref="T62:T63"/>
    <mergeCell ref="U62:U63"/>
    <mergeCell ref="U136:U139"/>
    <mergeCell ref="T149:T150"/>
    <mergeCell ref="U42:U43"/>
  </mergeCells>
  <phoneticPr fontId="6" type="noConversion"/>
  <conditionalFormatting sqref="C20:E126 C128:E164 C166:E262 C264:E305">
    <cfRule type="cellIs" dxfId="7" priority="1" operator="equal">
      <formula>"в работе"</formula>
    </cfRule>
    <cfRule type="cellIs" dxfId="6" priority="2" operator="equal">
      <formula>"да"</formula>
    </cfRule>
    <cfRule type="cellIs" dxfId="5" priority="3" operator="equal">
      <formula>"нет"</formula>
    </cfRule>
  </conditionalFormatting>
  <pageMargins left="0.23622047244094491" right="0.23622047244094491" top="0.55118110236220474" bottom="0.35433070866141736" header="0.31496062992125984" footer="0.31496062992125984"/>
  <pageSetup paperSize="8" scale="44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4:AP88"/>
  <sheetViews>
    <sheetView topLeftCell="D1" zoomScale="55" zoomScaleNormal="55" workbookViewId="0">
      <pane ySplit="6" topLeftCell="A67" activePane="bottomLeft" state="frozen"/>
      <selection pane="bottomLeft" activeCell="J77" sqref="J77"/>
    </sheetView>
  </sheetViews>
  <sheetFormatPr defaultRowHeight="14.4" x14ac:dyDescent="0.3"/>
  <cols>
    <col min="6" max="6" width="24.33203125" customWidth="1"/>
    <col min="7" max="7" width="17.6640625" customWidth="1"/>
    <col min="8" max="8" width="16.5546875" customWidth="1"/>
    <col min="9" max="9" width="16.44140625" customWidth="1"/>
    <col min="10" max="10" width="14.6640625" customWidth="1"/>
    <col min="14" max="14" width="18.6640625" customWidth="1"/>
    <col min="15" max="15" width="11.6640625" customWidth="1"/>
    <col min="16" max="16" width="14" bestFit="1" customWidth="1"/>
    <col min="17" max="18" width="8.88671875" customWidth="1"/>
    <col min="22" max="22" width="15.33203125" customWidth="1"/>
    <col min="39" max="40" width="8.88671875" customWidth="1"/>
    <col min="42" max="42" width="59.33203125" customWidth="1"/>
  </cols>
  <sheetData>
    <row r="4" spans="6:40" ht="15" thickBot="1" x14ac:dyDescent="0.35"/>
    <row r="5" spans="6:40" ht="90.6" customHeight="1" thickBot="1" x14ac:dyDescent="0.35">
      <c r="M5" s="416" t="s">
        <v>335</v>
      </c>
      <c r="N5" s="416" t="s">
        <v>336</v>
      </c>
      <c r="O5" s="97" t="s">
        <v>337</v>
      </c>
      <c r="P5" s="416" t="s">
        <v>338</v>
      </c>
      <c r="Q5" s="416" t="s">
        <v>339</v>
      </c>
      <c r="R5" s="418" t="s">
        <v>340</v>
      </c>
      <c r="S5" s="419"/>
      <c r="T5" s="419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19"/>
      <c r="AF5" s="419"/>
      <c r="AG5" s="419"/>
      <c r="AH5" s="419"/>
      <c r="AI5" s="419"/>
      <c r="AJ5" s="419"/>
      <c r="AK5" s="419"/>
      <c r="AL5" s="420"/>
      <c r="AM5" s="97" t="s">
        <v>341</v>
      </c>
      <c r="AN5" s="97" t="s">
        <v>342</v>
      </c>
    </row>
    <row r="6" spans="6:40" ht="126.6" customHeight="1" thickBot="1" x14ac:dyDescent="0.35">
      <c r="M6" s="417"/>
      <c r="N6" s="417"/>
      <c r="O6" s="98" t="s">
        <v>343</v>
      </c>
      <c r="P6" s="417"/>
      <c r="Q6" s="417"/>
      <c r="R6" s="99" t="s">
        <v>344</v>
      </c>
      <c r="S6" s="100" t="s">
        <v>345</v>
      </c>
      <c r="T6" s="98" t="s">
        <v>346</v>
      </c>
      <c r="U6" s="98" t="s">
        <v>347</v>
      </c>
      <c r="V6" s="98" t="s">
        <v>348</v>
      </c>
      <c r="W6" s="98" t="s">
        <v>349</v>
      </c>
      <c r="X6" s="98" t="s">
        <v>350</v>
      </c>
      <c r="Y6" s="98" t="s">
        <v>351</v>
      </c>
      <c r="Z6" s="98" t="s">
        <v>352</v>
      </c>
      <c r="AA6" s="98" t="s">
        <v>353</v>
      </c>
      <c r="AB6" s="98" t="s">
        <v>354</v>
      </c>
      <c r="AC6" s="98" t="s">
        <v>355</v>
      </c>
      <c r="AD6" s="98" t="s">
        <v>356</v>
      </c>
      <c r="AE6" s="98" t="s">
        <v>357</v>
      </c>
      <c r="AF6" s="98" t="s">
        <v>358</v>
      </c>
      <c r="AG6" s="98" t="s">
        <v>359</v>
      </c>
      <c r="AH6" s="98" t="s">
        <v>360</v>
      </c>
      <c r="AI6" s="98" t="s">
        <v>361</v>
      </c>
      <c r="AJ6" s="98" t="s">
        <v>362</v>
      </c>
      <c r="AK6" s="98" t="s">
        <v>363</v>
      </c>
      <c r="AL6" s="98" t="s">
        <v>364</v>
      </c>
      <c r="AM6" s="98" t="s">
        <v>365</v>
      </c>
      <c r="AN6" s="98" t="s">
        <v>366</v>
      </c>
    </row>
    <row r="7" spans="6:40" ht="15" thickBot="1" x14ac:dyDescent="0.35">
      <c r="M7" s="101">
        <v>1</v>
      </c>
      <c r="N7" s="102">
        <v>2</v>
      </c>
      <c r="O7" s="101">
        <v>3</v>
      </c>
      <c r="P7" s="102">
        <v>4</v>
      </c>
      <c r="Q7" s="101">
        <v>5</v>
      </c>
      <c r="R7" s="102">
        <v>6</v>
      </c>
      <c r="S7" s="101">
        <v>7</v>
      </c>
      <c r="T7" s="102">
        <v>8</v>
      </c>
      <c r="U7" s="101">
        <v>9</v>
      </c>
      <c r="V7" s="102">
        <v>10</v>
      </c>
      <c r="W7" s="101">
        <v>11</v>
      </c>
      <c r="X7" s="102">
        <v>12</v>
      </c>
      <c r="Y7" s="101">
        <v>13</v>
      </c>
      <c r="Z7" s="102">
        <v>14</v>
      </c>
      <c r="AA7" s="101">
        <v>15</v>
      </c>
      <c r="AB7" s="102">
        <v>16</v>
      </c>
      <c r="AC7" s="101">
        <v>17</v>
      </c>
      <c r="AD7" s="102">
        <v>18</v>
      </c>
      <c r="AE7" s="101">
        <v>19</v>
      </c>
      <c r="AF7" s="102">
        <v>20</v>
      </c>
      <c r="AG7" s="101">
        <v>21</v>
      </c>
      <c r="AH7" s="102">
        <v>22</v>
      </c>
      <c r="AI7" s="101">
        <v>23</v>
      </c>
      <c r="AJ7" s="102">
        <v>24</v>
      </c>
      <c r="AK7" s="101">
        <v>25</v>
      </c>
      <c r="AL7" s="102">
        <v>26</v>
      </c>
      <c r="AM7" s="101">
        <v>27</v>
      </c>
      <c r="AN7" s="102">
        <v>28</v>
      </c>
    </row>
    <row r="8" spans="6:40" ht="72.599999999999994" thickBot="1" x14ac:dyDescent="0.5">
      <c r="J8" s="471" t="s">
        <v>1116</v>
      </c>
      <c r="M8" s="103">
        <v>1</v>
      </c>
      <c r="N8" s="430" t="s">
        <v>414</v>
      </c>
      <c r="O8" s="104" t="s">
        <v>415</v>
      </c>
      <c r="P8" s="432"/>
      <c r="Q8" s="427">
        <v>0.1</v>
      </c>
      <c r="R8" s="128" t="s">
        <v>416</v>
      </c>
      <c r="S8" s="128" t="s">
        <v>2</v>
      </c>
      <c r="T8" s="128" t="s">
        <v>1</v>
      </c>
      <c r="U8" s="128" t="s">
        <v>1</v>
      </c>
      <c r="V8" s="128" t="s">
        <v>2</v>
      </c>
      <c r="W8" s="128" t="s">
        <v>2</v>
      </c>
      <c r="X8" s="128" t="s">
        <v>1</v>
      </c>
      <c r="Y8" s="128" t="s">
        <v>1</v>
      </c>
      <c r="Z8" s="128" t="s">
        <v>1</v>
      </c>
      <c r="AA8" s="128" t="s">
        <v>1</v>
      </c>
      <c r="AB8" s="128" t="s">
        <v>2</v>
      </c>
      <c r="AC8" s="128" t="s">
        <v>2</v>
      </c>
      <c r="AD8" s="128" t="s">
        <v>1</v>
      </c>
      <c r="AE8" s="129" t="s">
        <v>398</v>
      </c>
      <c r="AF8" s="128" t="s">
        <v>2</v>
      </c>
      <c r="AG8" s="128" t="s">
        <v>2</v>
      </c>
      <c r="AH8" s="128" t="s">
        <v>2</v>
      </c>
      <c r="AI8" s="128" t="s">
        <v>1</v>
      </c>
      <c r="AJ8" s="128" t="s">
        <v>2</v>
      </c>
      <c r="AK8" s="128" t="s">
        <v>2</v>
      </c>
      <c r="AL8" s="128" t="s">
        <v>2</v>
      </c>
      <c r="AM8" s="128" t="s">
        <v>2</v>
      </c>
      <c r="AN8" s="128" t="s">
        <v>2</v>
      </c>
    </row>
    <row r="9" spans="6:40" ht="72.599999999999994" thickBot="1" x14ac:dyDescent="0.35">
      <c r="M9" s="103">
        <v>2</v>
      </c>
      <c r="N9" s="438"/>
      <c r="O9" s="104" t="s">
        <v>417</v>
      </c>
      <c r="P9" s="439"/>
      <c r="Q9" s="428"/>
      <c r="R9" s="128" t="s">
        <v>416</v>
      </c>
      <c r="S9" s="128" t="s">
        <v>2</v>
      </c>
      <c r="T9" s="128" t="s">
        <v>1</v>
      </c>
      <c r="U9" s="128" t="s">
        <v>1</v>
      </c>
      <c r="V9" s="128" t="s">
        <v>2</v>
      </c>
      <c r="W9" s="128" t="s">
        <v>2</v>
      </c>
      <c r="X9" s="128" t="s">
        <v>1</v>
      </c>
      <c r="Y9" s="128" t="s">
        <v>1</v>
      </c>
      <c r="Z9" s="128" t="s">
        <v>1</v>
      </c>
      <c r="AA9" s="128" t="s">
        <v>1</v>
      </c>
      <c r="AB9" s="128" t="s">
        <v>2</v>
      </c>
      <c r="AC9" s="128" t="s">
        <v>2</v>
      </c>
      <c r="AD9" s="128" t="s">
        <v>1</v>
      </c>
      <c r="AE9" s="129" t="s">
        <v>398</v>
      </c>
      <c r="AF9" s="128" t="s">
        <v>2</v>
      </c>
      <c r="AG9" s="128" t="s">
        <v>2</v>
      </c>
      <c r="AH9" s="128" t="s">
        <v>2</v>
      </c>
      <c r="AI9" s="128" t="s">
        <v>1</v>
      </c>
      <c r="AJ9" s="128" t="s">
        <v>2</v>
      </c>
      <c r="AK9" s="128" t="s">
        <v>2</v>
      </c>
      <c r="AL9" s="128" t="s">
        <v>2</v>
      </c>
      <c r="AM9" s="128" t="s">
        <v>2</v>
      </c>
      <c r="AN9" s="128" t="s">
        <v>2</v>
      </c>
    </row>
    <row r="10" spans="6:40" ht="72.599999999999994" thickBot="1" x14ac:dyDescent="0.35">
      <c r="M10" s="103">
        <v>3</v>
      </c>
      <c r="N10" s="438"/>
      <c r="O10" s="104" t="s">
        <v>418</v>
      </c>
      <c r="P10" s="439"/>
      <c r="Q10" s="428"/>
      <c r="R10" s="128" t="s">
        <v>416</v>
      </c>
      <c r="S10" s="128" t="s">
        <v>2</v>
      </c>
      <c r="T10" s="128" t="s">
        <v>1</v>
      </c>
      <c r="U10" s="128" t="s">
        <v>1</v>
      </c>
      <c r="V10" s="128" t="s">
        <v>2</v>
      </c>
      <c r="W10" s="128" t="s">
        <v>2</v>
      </c>
      <c r="X10" s="128" t="s">
        <v>1</v>
      </c>
      <c r="Y10" s="128" t="s">
        <v>1</v>
      </c>
      <c r="Z10" s="128" t="s">
        <v>1</v>
      </c>
      <c r="AA10" s="128" t="s">
        <v>1</v>
      </c>
      <c r="AB10" s="128" t="s">
        <v>2</v>
      </c>
      <c r="AC10" s="128" t="s">
        <v>2</v>
      </c>
      <c r="AD10" s="128" t="s">
        <v>1</v>
      </c>
      <c r="AE10" s="129" t="s">
        <v>398</v>
      </c>
      <c r="AF10" s="128" t="s">
        <v>2</v>
      </c>
      <c r="AG10" s="128" t="s">
        <v>2</v>
      </c>
      <c r="AH10" s="128" t="s">
        <v>2</v>
      </c>
      <c r="AI10" s="128" t="s">
        <v>1</v>
      </c>
      <c r="AJ10" s="128" t="s">
        <v>2</v>
      </c>
      <c r="AK10" s="128" t="s">
        <v>2</v>
      </c>
      <c r="AL10" s="128" t="s">
        <v>2</v>
      </c>
      <c r="AM10" s="128" t="s">
        <v>2</v>
      </c>
      <c r="AN10" s="128" t="s">
        <v>2</v>
      </c>
    </row>
    <row r="11" spans="6:40" ht="97.2" customHeight="1" thickBot="1" x14ac:dyDescent="0.35">
      <c r="F11" s="78"/>
      <c r="M11" s="103">
        <v>4</v>
      </c>
      <c r="N11" s="438"/>
      <c r="O11" s="104" t="s">
        <v>419</v>
      </c>
      <c r="P11" s="439"/>
      <c r="Q11" s="428"/>
      <c r="R11" s="128" t="s">
        <v>2</v>
      </c>
      <c r="S11" s="128" t="s">
        <v>416</v>
      </c>
      <c r="T11" s="128" t="s">
        <v>1</v>
      </c>
      <c r="U11" s="128" t="s">
        <v>1</v>
      </c>
      <c r="V11" s="128" t="s">
        <v>2</v>
      </c>
      <c r="W11" s="128" t="s">
        <v>2</v>
      </c>
      <c r="X11" s="128" t="s">
        <v>1</v>
      </c>
      <c r="Y11" s="128" t="s">
        <v>1</v>
      </c>
      <c r="Z11" s="128" t="s">
        <v>1</v>
      </c>
      <c r="AA11" s="128" t="s">
        <v>1</v>
      </c>
      <c r="AB11" s="128" t="s">
        <v>2</v>
      </c>
      <c r="AC11" s="128" t="s">
        <v>2</v>
      </c>
      <c r="AD11" s="128" t="s">
        <v>1</v>
      </c>
      <c r="AE11" s="129" t="s">
        <v>398</v>
      </c>
      <c r="AF11" s="128" t="s">
        <v>2</v>
      </c>
      <c r="AG11" s="128" t="s">
        <v>2</v>
      </c>
      <c r="AH11" s="128" t="s">
        <v>2</v>
      </c>
      <c r="AI11" s="128" t="s">
        <v>1</v>
      </c>
      <c r="AJ11" s="128" t="s">
        <v>2</v>
      </c>
      <c r="AK11" s="128" t="s">
        <v>2</v>
      </c>
      <c r="AL11" s="128" t="s">
        <v>2</v>
      </c>
      <c r="AM11" s="128" t="s">
        <v>2</v>
      </c>
      <c r="AN11" s="128" t="s">
        <v>2</v>
      </c>
    </row>
    <row r="12" spans="6:40" ht="72.599999999999994" thickBot="1" x14ac:dyDescent="0.35">
      <c r="M12" s="103">
        <v>5</v>
      </c>
      <c r="N12" s="438"/>
      <c r="O12" s="104" t="s">
        <v>420</v>
      </c>
      <c r="P12" s="439"/>
      <c r="Q12" s="428"/>
      <c r="R12" s="128" t="s">
        <v>416</v>
      </c>
      <c r="S12" s="128" t="s">
        <v>2</v>
      </c>
      <c r="T12" s="128" t="s">
        <v>1</v>
      </c>
      <c r="U12" s="128" t="s">
        <v>1</v>
      </c>
      <c r="V12" s="128" t="s">
        <v>2</v>
      </c>
      <c r="W12" s="128" t="s">
        <v>2</v>
      </c>
      <c r="X12" s="128" t="s">
        <v>1</v>
      </c>
      <c r="Y12" s="128" t="s">
        <v>1</v>
      </c>
      <c r="Z12" s="128" t="s">
        <v>1</v>
      </c>
      <c r="AA12" s="128" t="s">
        <v>1</v>
      </c>
      <c r="AB12" s="128" t="s">
        <v>2</v>
      </c>
      <c r="AC12" s="128" t="s">
        <v>2</v>
      </c>
      <c r="AD12" s="128" t="s">
        <v>1</v>
      </c>
      <c r="AE12" s="129" t="s">
        <v>398</v>
      </c>
      <c r="AF12" s="128" t="s">
        <v>2</v>
      </c>
      <c r="AG12" s="128" t="s">
        <v>2</v>
      </c>
      <c r="AH12" s="128" t="s">
        <v>2</v>
      </c>
      <c r="AI12" s="128" t="s">
        <v>1</v>
      </c>
      <c r="AJ12" s="128" t="s">
        <v>2</v>
      </c>
      <c r="AK12" s="128" t="s">
        <v>2</v>
      </c>
      <c r="AL12" s="128" t="s">
        <v>2</v>
      </c>
      <c r="AM12" s="128" t="s">
        <v>2</v>
      </c>
      <c r="AN12" s="128" t="s">
        <v>2</v>
      </c>
    </row>
    <row r="13" spans="6:40" ht="72.599999999999994" thickBot="1" x14ac:dyDescent="0.35">
      <c r="M13" s="103">
        <v>6</v>
      </c>
      <c r="N13" s="438"/>
      <c r="O13" s="104" t="s">
        <v>421</v>
      </c>
      <c r="P13" s="439"/>
      <c r="Q13" s="428"/>
      <c r="R13" s="128" t="s">
        <v>416</v>
      </c>
      <c r="S13" s="128" t="s">
        <v>2</v>
      </c>
      <c r="T13" s="128" t="s">
        <v>1</v>
      </c>
      <c r="U13" s="128" t="s">
        <v>1</v>
      </c>
      <c r="V13" s="128" t="s">
        <v>2</v>
      </c>
      <c r="W13" s="128" t="s">
        <v>2</v>
      </c>
      <c r="X13" s="128" t="s">
        <v>1</v>
      </c>
      <c r="Y13" s="128" t="s">
        <v>1</v>
      </c>
      <c r="Z13" s="128" t="s">
        <v>1</v>
      </c>
      <c r="AA13" s="128" t="s">
        <v>1</v>
      </c>
      <c r="AB13" s="128" t="s">
        <v>2</v>
      </c>
      <c r="AC13" s="128" t="s">
        <v>2</v>
      </c>
      <c r="AD13" s="128" t="s">
        <v>1</v>
      </c>
      <c r="AE13" s="129" t="s">
        <v>398</v>
      </c>
      <c r="AF13" s="128" t="s">
        <v>2</v>
      </c>
      <c r="AG13" s="128" t="s">
        <v>2</v>
      </c>
      <c r="AH13" s="128" t="s">
        <v>2</v>
      </c>
      <c r="AI13" s="128" t="s">
        <v>1</v>
      </c>
      <c r="AJ13" s="128" t="s">
        <v>2</v>
      </c>
      <c r="AK13" s="128" t="s">
        <v>2</v>
      </c>
      <c r="AL13" s="128" t="s">
        <v>2</v>
      </c>
      <c r="AM13" s="128" t="s">
        <v>2</v>
      </c>
      <c r="AN13" s="128" t="s">
        <v>2</v>
      </c>
    </row>
    <row r="14" spans="6:40" ht="72.599999999999994" thickBot="1" x14ac:dyDescent="0.35">
      <c r="M14" s="103">
        <v>7</v>
      </c>
      <c r="N14" s="438"/>
      <c r="O14" s="104" t="s">
        <v>422</v>
      </c>
      <c r="P14" s="439"/>
      <c r="Q14" s="428"/>
      <c r="R14" s="128" t="s">
        <v>416</v>
      </c>
      <c r="S14" s="128" t="s">
        <v>2</v>
      </c>
      <c r="T14" s="128" t="s">
        <v>1</v>
      </c>
      <c r="U14" s="128" t="s">
        <v>1</v>
      </c>
      <c r="V14" s="128" t="s">
        <v>2</v>
      </c>
      <c r="W14" s="128" t="s">
        <v>2</v>
      </c>
      <c r="X14" s="128" t="s">
        <v>1</v>
      </c>
      <c r="Y14" s="128" t="s">
        <v>1</v>
      </c>
      <c r="Z14" s="128" t="s">
        <v>1</v>
      </c>
      <c r="AA14" s="128" t="s">
        <v>1</v>
      </c>
      <c r="AB14" s="128" t="s">
        <v>2</v>
      </c>
      <c r="AC14" s="128" t="s">
        <v>2</v>
      </c>
      <c r="AD14" s="128" t="s">
        <v>1</v>
      </c>
      <c r="AE14" s="129" t="s">
        <v>398</v>
      </c>
      <c r="AF14" s="128" t="s">
        <v>2</v>
      </c>
      <c r="AG14" s="128" t="s">
        <v>2</v>
      </c>
      <c r="AH14" s="128" t="s">
        <v>2</v>
      </c>
      <c r="AI14" s="128" t="s">
        <v>1</v>
      </c>
      <c r="AJ14" s="128" t="s">
        <v>2</v>
      </c>
      <c r="AK14" s="128" t="s">
        <v>2</v>
      </c>
      <c r="AL14" s="128" t="s">
        <v>2</v>
      </c>
      <c r="AM14" s="128" t="s">
        <v>2</v>
      </c>
      <c r="AN14" s="128" t="s">
        <v>2</v>
      </c>
    </row>
    <row r="15" spans="6:40" ht="72.599999999999994" thickBot="1" x14ac:dyDescent="0.35">
      <c r="M15" s="103">
        <v>8</v>
      </c>
      <c r="N15" s="438"/>
      <c r="O15" s="104" t="s">
        <v>423</v>
      </c>
      <c r="P15" s="439"/>
      <c r="Q15" s="428"/>
      <c r="R15" s="128" t="s">
        <v>416</v>
      </c>
      <c r="S15" s="128" t="s">
        <v>2</v>
      </c>
      <c r="T15" s="128" t="s">
        <v>1</v>
      </c>
      <c r="U15" s="128" t="s">
        <v>1</v>
      </c>
      <c r="V15" s="128" t="s">
        <v>2</v>
      </c>
      <c r="W15" s="128" t="s">
        <v>2</v>
      </c>
      <c r="X15" s="128" t="s">
        <v>1</v>
      </c>
      <c r="Y15" s="128" t="s">
        <v>1</v>
      </c>
      <c r="Z15" s="128" t="s">
        <v>1</v>
      </c>
      <c r="AA15" s="128" t="s">
        <v>1</v>
      </c>
      <c r="AB15" s="128" t="s">
        <v>2</v>
      </c>
      <c r="AC15" s="128" t="s">
        <v>2</v>
      </c>
      <c r="AD15" s="128" t="s">
        <v>1</v>
      </c>
      <c r="AE15" s="129" t="s">
        <v>398</v>
      </c>
      <c r="AF15" s="128" t="s">
        <v>2</v>
      </c>
      <c r="AG15" s="128" t="s">
        <v>2</v>
      </c>
      <c r="AH15" s="128" t="s">
        <v>2</v>
      </c>
      <c r="AI15" s="128" t="s">
        <v>1</v>
      </c>
      <c r="AJ15" s="128" t="s">
        <v>2</v>
      </c>
      <c r="AK15" s="128" t="s">
        <v>2</v>
      </c>
      <c r="AL15" s="128" t="s">
        <v>2</v>
      </c>
      <c r="AM15" s="128" t="s">
        <v>2</v>
      </c>
      <c r="AN15" s="128" t="s">
        <v>2</v>
      </c>
    </row>
    <row r="16" spans="6:40" ht="72.599999999999994" thickBot="1" x14ac:dyDescent="0.35">
      <c r="M16" s="103">
        <v>9</v>
      </c>
      <c r="N16" s="438"/>
      <c r="O16" s="104" t="s">
        <v>424</v>
      </c>
      <c r="P16" s="439"/>
      <c r="Q16" s="428"/>
      <c r="R16" s="128" t="s">
        <v>416</v>
      </c>
      <c r="S16" s="128" t="s">
        <v>2</v>
      </c>
      <c r="T16" s="128" t="s">
        <v>1</v>
      </c>
      <c r="U16" s="128" t="s">
        <v>1</v>
      </c>
      <c r="V16" s="128" t="s">
        <v>2</v>
      </c>
      <c r="W16" s="128" t="s">
        <v>2</v>
      </c>
      <c r="X16" s="128" t="s">
        <v>1</v>
      </c>
      <c r="Y16" s="128" t="s">
        <v>1</v>
      </c>
      <c r="Z16" s="128" t="s">
        <v>1</v>
      </c>
      <c r="AA16" s="128" t="s">
        <v>1</v>
      </c>
      <c r="AB16" s="128" t="s">
        <v>2</v>
      </c>
      <c r="AC16" s="128" t="s">
        <v>2</v>
      </c>
      <c r="AD16" s="128" t="s">
        <v>1</v>
      </c>
      <c r="AE16" s="129" t="s">
        <v>398</v>
      </c>
      <c r="AF16" s="128" t="s">
        <v>2</v>
      </c>
      <c r="AG16" s="128" t="s">
        <v>2</v>
      </c>
      <c r="AH16" s="128" t="s">
        <v>2</v>
      </c>
      <c r="AI16" s="128" t="s">
        <v>1</v>
      </c>
      <c r="AJ16" s="128" t="s">
        <v>2</v>
      </c>
      <c r="AK16" s="128" t="s">
        <v>2</v>
      </c>
      <c r="AL16" s="128" t="s">
        <v>2</v>
      </c>
      <c r="AM16" s="128" t="s">
        <v>2</v>
      </c>
      <c r="AN16" s="128" t="s">
        <v>2</v>
      </c>
    </row>
    <row r="17" spans="13:40" ht="72.599999999999994" thickBot="1" x14ac:dyDescent="0.35">
      <c r="M17" s="103">
        <v>10</v>
      </c>
      <c r="N17" s="438"/>
      <c r="O17" s="104" t="s">
        <v>425</v>
      </c>
      <c r="P17" s="439"/>
      <c r="Q17" s="428"/>
      <c r="R17" s="128" t="s">
        <v>416</v>
      </c>
      <c r="S17" s="128" t="s">
        <v>2</v>
      </c>
      <c r="T17" s="128" t="s">
        <v>1</v>
      </c>
      <c r="U17" s="128" t="s">
        <v>1</v>
      </c>
      <c r="V17" s="128" t="s">
        <v>2</v>
      </c>
      <c r="W17" s="128" t="s">
        <v>2</v>
      </c>
      <c r="X17" s="128" t="s">
        <v>1</v>
      </c>
      <c r="Y17" s="128" t="s">
        <v>1</v>
      </c>
      <c r="Z17" s="128" t="s">
        <v>1</v>
      </c>
      <c r="AA17" s="128" t="s">
        <v>1</v>
      </c>
      <c r="AB17" s="128" t="s">
        <v>2</v>
      </c>
      <c r="AC17" s="128" t="s">
        <v>2</v>
      </c>
      <c r="AD17" s="128" t="s">
        <v>1</v>
      </c>
      <c r="AE17" s="129" t="s">
        <v>398</v>
      </c>
      <c r="AF17" s="128" t="s">
        <v>2</v>
      </c>
      <c r="AG17" s="128" t="s">
        <v>2</v>
      </c>
      <c r="AH17" s="128" t="s">
        <v>2</v>
      </c>
      <c r="AI17" s="128" t="s">
        <v>1</v>
      </c>
      <c r="AJ17" s="128" t="s">
        <v>2</v>
      </c>
      <c r="AK17" s="128" t="s">
        <v>2</v>
      </c>
      <c r="AL17" s="128" t="s">
        <v>2</v>
      </c>
      <c r="AM17" s="128" t="s">
        <v>2</v>
      </c>
      <c r="AN17" s="128" t="s">
        <v>2</v>
      </c>
    </row>
    <row r="18" spans="13:40" ht="72.599999999999994" thickBot="1" x14ac:dyDescent="0.35">
      <c r="M18" s="103">
        <v>11</v>
      </c>
      <c r="N18" s="431"/>
      <c r="O18" s="104" t="s">
        <v>426</v>
      </c>
      <c r="P18" s="433"/>
      <c r="Q18" s="428"/>
      <c r="R18" s="128" t="s">
        <v>416</v>
      </c>
      <c r="S18" s="128" t="s">
        <v>2</v>
      </c>
      <c r="T18" s="128" t="s">
        <v>1</v>
      </c>
      <c r="U18" s="128" t="s">
        <v>1</v>
      </c>
      <c r="V18" s="128" t="s">
        <v>2</v>
      </c>
      <c r="W18" s="128" t="s">
        <v>2</v>
      </c>
      <c r="X18" s="128" t="s">
        <v>1</v>
      </c>
      <c r="Y18" s="128" t="s">
        <v>1</v>
      </c>
      <c r="Z18" s="128" t="s">
        <v>1</v>
      </c>
      <c r="AA18" s="128" t="s">
        <v>1</v>
      </c>
      <c r="AB18" s="128" t="s">
        <v>2</v>
      </c>
      <c r="AC18" s="128" t="s">
        <v>2</v>
      </c>
      <c r="AD18" s="128" t="s">
        <v>1</v>
      </c>
      <c r="AE18" s="129" t="s">
        <v>398</v>
      </c>
      <c r="AF18" s="128" t="s">
        <v>2</v>
      </c>
      <c r="AG18" s="128" t="s">
        <v>2</v>
      </c>
      <c r="AH18" s="128" t="s">
        <v>2</v>
      </c>
      <c r="AI18" s="128" t="s">
        <v>1</v>
      </c>
      <c r="AJ18" s="128" t="s">
        <v>2</v>
      </c>
      <c r="AK18" s="128" t="s">
        <v>2</v>
      </c>
      <c r="AL18" s="128" t="s">
        <v>2</v>
      </c>
      <c r="AM18" s="128" t="s">
        <v>2</v>
      </c>
      <c r="AN18" s="128" t="s">
        <v>2</v>
      </c>
    </row>
    <row r="19" spans="13:40" ht="72.599999999999994" thickBot="1" x14ac:dyDescent="0.35">
      <c r="M19" s="103">
        <v>12</v>
      </c>
      <c r="N19" s="430" t="s">
        <v>427</v>
      </c>
      <c r="O19" s="104" t="s">
        <v>428</v>
      </c>
      <c r="P19" s="432"/>
      <c r="Q19" s="428"/>
      <c r="R19" s="128" t="s">
        <v>416</v>
      </c>
      <c r="S19" s="128" t="s">
        <v>2</v>
      </c>
      <c r="T19" s="128" t="s">
        <v>1</v>
      </c>
      <c r="U19" s="128" t="s">
        <v>1</v>
      </c>
      <c r="V19" s="128" t="s">
        <v>2</v>
      </c>
      <c r="W19" s="128" t="s">
        <v>2</v>
      </c>
      <c r="X19" s="128" t="s">
        <v>1</v>
      </c>
      <c r="Y19" s="128" t="s">
        <v>1</v>
      </c>
      <c r="Z19" s="128" t="s">
        <v>1</v>
      </c>
      <c r="AA19" s="128" t="s">
        <v>1</v>
      </c>
      <c r="AB19" s="128" t="s">
        <v>2</v>
      </c>
      <c r="AC19" s="128" t="s">
        <v>2</v>
      </c>
      <c r="AD19" s="128" t="s">
        <v>1</v>
      </c>
      <c r="AE19" s="129" t="s">
        <v>398</v>
      </c>
      <c r="AF19" s="128" t="s">
        <v>2</v>
      </c>
      <c r="AG19" s="128" t="s">
        <v>2</v>
      </c>
      <c r="AH19" s="128" t="s">
        <v>2</v>
      </c>
      <c r="AI19" s="128" t="s">
        <v>1</v>
      </c>
      <c r="AJ19" s="128" t="s">
        <v>2</v>
      </c>
      <c r="AK19" s="128" t="s">
        <v>2</v>
      </c>
      <c r="AL19" s="128" t="s">
        <v>2</v>
      </c>
      <c r="AM19" s="128" t="s">
        <v>2</v>
      </c>
      <c r="AN19" s="128" t="s">
        <v>2</v>
      </c>
    </row>
    <row r="20" spans="13:40" ht="72.599999999999994" thickBot="1" x14ac:dyDescent="0.35">
      <c r="M20" s="103">
        <v>13</v>
      </c>
      <c r="N20" s="438"/>
      <c r="O20" s="104" t="s">
        <v>429</v>
      </c>
      <c r="P20" s="439"/>
      <c r="Q20" s="428"/>
      <c r="R20" s="128" t="s">
        <v>416</v>
      </c>
      <c r="S20" s="128" t="s">
        <v>2</v>
      </c>
      <c r="T20" s="128" t="s">
        <v>1</v>
      </c>
      <c r="U20" s="128" t="s">
        <v>1</v>
      </c>
      <c r="V20" s="128" t="s">
        <v>2</v>
      </c>
      <c r="W20" s="128" t="s">
        <v>2</v>
      </c>
      <c r="X20" s="128" t="s">
        <v>1</v>
      </c>
      <c r="Y20" s="128" t="s">
        <v>1</v>
      </c>
      <c r="Z20" s="128" t="s">
        <v>1</v>
      </c>
      <c r="AA20" s="128" t="s">
        <v>1</v>
      </c>
      <c r="AB20" s="128" t="s">
        <v>2</v>
      </c>
      <c r="AC20" s="128" t="s">
        <v>2</v>
      </c>
      <c r="AD20" s="128" t="s">
        <v>1</v>
      </c>
      <c r="AE20" s="129" t="s">
        <v>398</v>
      </c>
      <c r="AF20" s="128" t="s">
        <v>2</v>
      </c>
      <c r="AG20" s="128" t="s">
        <v>2</v>
      </c>
      <c r="AH20" s="128" t="s">
        <v>2</v>
      </c>
      <c r="AI20" s="128" t="s">
        <v>1</v>
      </c>
      <c r="AJ20" s="128" t="s">
        <v>2</v>
      </c>
      <c r="AK20" s="128" t="s">
        <v>2</v>
      </c>
      <c r="AL20" s="128" t="s">
        <v>2</v>
      </c>
      <c r="AM20" s="128" t="s">
        <v>2</v>
      </c>
      <c r="AN20" s="128" t="s">
        <v>2</v>
      </c>
    </row>
    <row r="21" spans="13:40" ht="72.599999999999994" thickBot="1" x14ac:dyDescent="0.35">
      <c r="M21" s="103">
        <v>14</v>
      </c>
      <c r="N21" s="438"/>
      <c r="O21" s="104" t="s">
        <v>430</v>
      </c>
      <c r="P21" s="439"/>
      <c r="Q21" s="428"/>
      <c r="R21" s="128" t="s">
        <v>416</v>
      </c>
      <c r="S21" s="128" t="s">
        <v>2</v>
      </c>
      <c r="T21" s="128" t="s">
        <v>1</v>
      </c>
      <c r="U21" s="128" t="s">
        <v>1</v>
      </c>
      <c r="V21" s="128" t="s">
        <v>2</v>
      </c>
      <c r="W21" s="128" t="s">
        <v>2</v>
      </c>
      <c r="X21" s="128" t="s">
        <v>1</v>
      </c>
      <c r="Y21" s="128" t="s">
        <v>1</v>
      </c>
      <c r="Z21" s="128" t="s">
        <v>1</v>
      </c>
      <c r="AA21" s="128" t="s">
        <v>1</v>
      </c>
      <c r="AB21" s="128" t="s">
        <v>2</v>
      </c>
      <c r="AC21" s="128" t="s">
        <v>2</v>
      </c>
      <c r="AD21" s="128" t="s">
        <v>1</v>
      </c>
      <c r="AE21" s="129" t="s">
        <v>398</v>
      </c>
      <c r="AF21" s="128" t="s">
        <v>2</v>
      </c>
      <c r="AG21" s="128" t="s">
        <v>2</v>
      </c>
      <c r="AH21" s="128" t="s">
        <v>2</v>
      </c>
      <c r="AI21" s="128" t="s">
        <v>1</v>
      </c>
      <c r="AJ21" s="128" t="s">
        <v>2</v>
      </c>
      <c r="AK21" s="128" t="s">
        <v>2</v>
      </c>
      <c r="AL21" s="128" t="s">
        <v>2</v>
      </c>
      <c r="AM21" s="128" t="s">
        <v>2</v>
      </c>
      <c r="AN21" s="128" t="s">
        <v>2</v>
      </c>
    </row>
    <row r="22" spans="13:40" ht="72.599999999999994" thickBot="1" x14ac:dyDescent="0.35">
      <c r="M22" s="103">
        <v>15</v>
      </c>
      <c r="N22" s="438"/>
      <c r="O22" s="104" t="s">
        <v>431</v>
      </c>
      <c r="P22" s="439"/>
      <c r="Q22" s="428"/>
      <c r="R22" s="128" t="s">
        <v>416</v>
      </c>
      <c r="S22" s="128" t="s">
        <v>2</v>
      </c>
      <c r="T22" s="128" t="s">
        <v>1</v>
      </c>
      <c r="U22" s="128" t="s">
        <v>1</v>
      </c>
      <c r="V22" s="128" t="s">
        <v>2</v>
      </c>
      <c r="W22" s="128" t="s">
        <v>2</v>
      </c>
      <c r="X22" s="128" t="s">
        <v>1</v>
      </c>
      <c r="Y22" s="128" t="s">
        <v>1</v>
      </c>
      <c r="Z22" s="128" t="s">
        <v>1</v>
      </c>
      <c r="AA22" s="128" t="s">
        <v>1</v>
      </c>
      <c r="AB22" s="128" t="s">
        <v>2</v>
      </c>
      <c r="AC22" s="128" t="s">
        <v>2</v>
      </c>
      <c r="AD22" s="128" t="s">
        <v>1</v>
      </c>
      <c r="AE22" s="129" t="s">
        <v>398</v>
      </c>
      <c r="AF22" s="128" t="s">
        <v>2</v>
      </c>
      <c r="AG22" s="128" t="s">
        <v>2</v>
      </c>
      <c r="AH22" s="128" t="s">
        <v>2</v>
      </c>
      <c r="AI22" s="128" t="s">
        <v>1</v>
      </c>
      <c r="AJ22" s="128" t="s">
        <v>2</v>
      </c>
      <c r="AK22" s="128" t="s">
        <v>2</v>
      </c>
      <c r="AL22" s="128" t="s">
        <v>2</v>
      </c>
      <c r="AM22" s="128" t="s">
        <v>2</v>
      </c>
      <c r="AN22" s="128" t="s">
        <v>2</v>
      </c>
    </row>
    <row r="23" spans="13:40" ht="72.599999999999994" thickBot="1" x14ac:dyDescent="0.35">
      <c r="M23" s="103">
        <v>16</v>
      </c>
      <c r="N23" s="438"/>
      <c r="O23" s="104" t="s">
        <v>432</v>
      </c>
      <c r="P23" s="439"/>
      <c r="Q23" s="428"/>
      <c r="R23" s="128" t="s">
        <v>416</v>
      </c>
      <c r="S23" s="128" t="s">
        <v>2</v>
      </c>
      <c r="T23" s="128" t="s">
        <v>1</v>
      </c>
      <c r="U23" s="128" t="s">
        <v>1</v>
      </c>
      <c r="V23" s="128" t="s">
        <v>2</v>
      </c>
      <c r="W23" s="128" t="s">
        <v>2</v>
      </c>
      <c r="X23" s="128" t="s">
        <v>1</v>
      </c>
      <c r="Y23" s="128" t="s">
        <v>1</v>
      </c>
      <c r="Z23" s="128" t="s">
        <v>1</v>
      </c>
      <c r="AA23" s="128" t="s">
        <v>1</v>
      </c>
      <c r="AB23" s="128" t="s">
        <v>2</v>
      </c>
      <c r="AC23" s="128" t="s">
        <v>2</v>
      </c>
      <c r="AD23" s="128" t="s">
        <v>1</v>
      </c>
      <c r="AE23" s="129" t="s">
        <v>398</v>
      </c>
      <c r="AF23" s="128" t="s">
        <v>2</v>
      </c>
      <c r="AG23" s="128" t="s">
        <v>2</v>
      </c>
      <c r="AH23" s="128" t="s">
        <v>2</v>
      </c>
      <c r="AI23" s="128" t="s">
        <v>1</v>
      </c>
      <c r="AJ23" s="128" t="s">
        <v>2</v>
      </c>
      <c r="AK23" s="128" t="s">
        <v>2</v>
      </c>
      <c r="AL23" s="128" t="s">
        <v>2</v>
      </c>
      <c r="AM23" s="128" t="s">
        <v>2</v>
      </c>
      <c r="AN23" s="128" t="s">
        <v>2</v>
      </c>
    </row>
    <row r="24" spans="13:40" ht="72.599999999999994" thickBot="1" x14ac:dyDescent="0.35">
      <c r="M24" s="103">
        <v>17</v>
      </c>
      <c r="N24" s="438"/>
      <c r="O24" s="104" t="s">
        <v>433</v>
      </c>
      <c r="P24" s="439"/>
      <c r="Q24" s="428"/>
      <c r="R24" s="128" t="s">
        <v>416</v>
      </c>
      <c r="S24" s="128" t="s">
        <v>2</v>
      </c>
      <c r="T24" s="128" t="s">
        <v>1</v>
      </c>
      <c r="U24" s="128" t="s">
        <v>1</v>
      </c>
      <c r="V24" s="128" t="s">
        <v>2</v>
      </c>
      <c r="W24" s="128" t="s">
        <v>2</v>
      </c>
      <c r="X24" s="128" t="s">
        <v>1</v>
      </c>
      <c r="Y24" s="128" t="s">
        <v>1</v>
      </c>
      <c r="Z24" s="128" t="s">
        <v>1</v>
      </c>
      <c r="AA24" s="128" t="s">
        <v>1</v>
      </c>
      <c r="AB24" s="128" t="s">
        <v>2</v>
      </c>
      <c r="AC24" s="128" t="s">
        <v>2</v>
      </c>
      <c r="AD24" s="128" t="s">
        <v>1</v>
      </c>
      <c r="AE24" s="129" t="s">
        <v>398</v>
      </c>
      <c r="AF24" s="128" t="s">
        <v>2</v>
      </c>
      <c r="AG24" s="128" t="s">
        <v>2</v>
      </c>
      <c r="AH24" s="128" t="s">
        <v>2</v>
      </c>
      <c r="AI24" s="128" t="s">
        <v>1</v>
      </c>
      <c r="AJ24" s="128" t="s">
        <v>2</v>
      </c>
      <c r="AK24" s="128" t="s">
        <v>2</v>
      </c>
      <c r="AL24" s="128" t="s">
        <v>2</v>
      </c>
      <c r="AM24" s="128" t="s">
        <v>2</v>
      </c>
      <c r="AN24" s="128" t="s">
        <v>2</v>
      </c>
    </row>
    <row r="25" spans="13:40" ht="72.599999999999994" thickBot="1" x14ac:dyDescent="0.35">
      <c r="M25" s="103">
        <v>18</v>
      </c>
      <c r="N25" s="431"/>
      <c r="O25" s="104" t="s">
        <v>434</v>
      </c>
      <c r="P25" s="433"/>
      <c r="Q25" s="428"/>
      <c r="R25" s="128" t="s">
        <v>416</v>
      </c>
      <c r="S25" s="128" t="s">
        <v>2</v>
      </c>
      <c r="T25" s="128" t="s">
        <v>1</v>
      </c>
      <c r="U25" s="128" t="s">
        <v>1</v>
      </c>
      <c r="V25" s="128" t="s">
        <v>2</v>
      </c>
      <c r="W25" s="128" t="s">
        <v>2</v>
      </c>
      <c r="X25" s="128" t="s">
        <v>1</v>
      </c>
      <c r="Y25" s="128" t="s">
        <v>1</v>
      </c>
      <c r="Z25" s="128" t="s">
        <v>1</v>
      </c>
      <c r="AA25" s="128" t="s">
        <v>1</v>
      </c>
      <c r="AB25" s="128" t="s">
        <v>2</v>
      </c>
      <c r="AC25" s="128" t="s">
        <v>2</v>
      </c>
      <c r="AD25" s="128" t="s">
        <v>1</v>
      </c>
      <c r="AE25" s="129" t="s">
        <v>398</v>
      </c>
      <c r="AF25" s="128" t="s">
        <v>2</v>
      </c>
      <c r="AG25" s="128" t="s">
        <v>2</v>
      </c>
      <c r="AH25" s="128" t="s">
        <v>2</v>
      </c>
      <c r="AI25" s="128" t="s">
        <v>1</v>
      </c>
      <c r="AJ25" s="128" t="s">
        <v>2</v>
      </c>
      <c r="AK25" s="128" t="s">
        <v>2</v>
      </c>
      <c r="AL25" s="128" t="s">
        <v>2</v>
      </c>
      <c r="AM25" s="128" t="s">
        <v>2</v>
      </c>
      <c r="AN25" s="128" t="s">
        <v>2</v>
      </c>
    </row>
    <row r="26" spans="13:40" ht="72.599999999999994" thickBot="1" x14ac:dyDescent="0.35">
      <c r="M26" s="103">
        <v>19</v>
      </c>
      <c r="N26" s="430" t="s">
        <v>435</v>
      </c>
      <c r="O26" s="104" t="s">
        <v>436</v>
      </c>
      <c r="P26" s="432"/>
      <c r="Q26" s="428"/>
      <c r="R26" s="128" t="s">
        <v>416</v>
      </c>
      <c r="S26" s="128" t="s">
        <v>2</v>
      </c>
      <c r="T26" s="128" t="s">
        <v>1</v>
      </c>
      <c r="U26" s="128" t="s">
        <v>1</v>
      </c>
      <c r="V26" s="128" t="s">
        <v>2</v>
      </c>
      <c r="W26" s="128" t="s">
        <v>2</v>
      </c>
      <c r="X26" s="128" t="s">
        <v>1</v>
      </c>
      <c r="Y26" s="128" t="s">
        <v>1</v>
      </c>
      <c r="Z26" s="128" t="s">
        <v>1</v>
      </c>
      <c r="AA26" s="128" t="s">
        <v>1</v>
      </c>
      <c r="AB26" s="128" t="s">
        <v>2</v>
      </c>
      <c r="AC26" s="128" t="s">
        <v>2</v>
      </c>
      <c r="AD26" s="128" t="s">
        <v>1</v>
      </c>
      <c r="AE26" s="129" t="s">
        <v>398</v>
      </c>
      <c r="AF26" s="128" t="s">
        <v>2</v>
      </c>
      <c r="AG26" s="128" t="s">
        <v>2</v>
      </c>
      <c r="AH26" s="128" t="s">
        <v>2</v>
      </c>
      <c r="AI26" s="128" t="s">
        <v>1</v>
      </c>
      <c r="AJ26" s="128" t="s">
        <v>2</v>
      </c>
      <c r="AK26" s="128" t="s">
        <v>2</v>
      </c>
      <c r="AL26" s="128" t="s">
        <v>2</v>
      </c>
      <c r="AM26" s="128" t="s">
        <v>2</v>
      </c>
      <c r="AN26" s="128" t="s">
        <v>2</v>
      </c>
    </row>
    <row r="27" spans="13:40" ht="72.599999999999994" thickBot="1" x14ac:dyDescent="0.35">
      <c r="M27" s="103">
        <v>20</v>
      </c>
      <c r="N27" s="438"/>
      <c r="O27" s="104" t="s">
        <v>437</v>
      </c>
      <c r="P27" s="439"/>
      <c r="Q27" s="428"/>
      <c r="R27" s="128" t="s">
        <v>416</v>
      </c>
      <c r="S27" s="128" t="s">
        <v>2</v>
      </c>
      <c r="T27" s="128" t="s">
        <v>1</v>
      </c>
      <c r="U27" s="128" t="s">
        <v>1</v>
      </c>
      <c r="V27" s="128" t="s">
        <v>2</v>
      </c>
      <c r="W27" s="128" t="s">
        <v>2</v>
      </c>
      <c r="X27" s="128" t="s">
        <v>1</v>
      </c>
      <c r="Y27" s="128" t="s">
        <v>1</v>
      </c>
      <c r="Z27" s="128" t="s">
        <v>1</v>
      </c>
      <c r="AA27" s="128" t="s">
        <v>1</v>
      </c>
      <c r="AB27" s="128" t="s">
        <v>2</v>
      </c>
      <c r="AC27" s="128" t="s">
        <v>2</v>
      </c>
      <c r="AD27" s="128" t="s">
        <v>1</v>
      </c>
      <c r="AE27" s="129" t="s">
        <v>398</v>
      </c>
      <c r="AF27" s="128" t="s">
        <v>2</v>
      </c>
      <c r="AG27" s="128" t="s">
        <v>2</v>
      </c>
      <c r="AH27" s="128" t="s">
        <v>2</v>
      </c>
      <c r="AI27" s="128" t="s">
        <v>1</v>
      </c>
      <c r="AJ27" s="128" t="s">
        <v>2</v>
      </c>
      <c r="AK27" s="128" t="s">
        <v>2</v>
      </c>
      <c r="AL27" s="128" t="s">
        <v>2</v>
      </c>
      <c r="AM27" s="128" t="s">
        <v>2</v>
      </c>
      <c r="AN27" s="128" t="s">
        <v>2</v>
      </c>
    </row>
    <row r="28" spans="13:40" ht="72.599999999999994" thickBot="1" x14ac:dyDescent="0.35">
      <c r="M28" s="103">
        <v>21</v>
      </c>
      <c r="N28" s="438"/>
      <c r="O28" s="104" t="s">
        <v>438</v>
      </c>
      <c r="P28" s="439"/>
      <c r="Q28" s="428"/>
      <c r="R28" s="128" t="s">
        <v>416</v>
      </c>
      <c r="S28" s="128" t="s">
        <v>2</v>
      </c>
      <c r="T28" s="128" t="s">
        <v>1</v>
      </c>
      <c r="U28" s="128" t="s">
        <v>1</v>
      </c>
      <c r="V28" s="128" t="s">
        <v>2</v>
      </c>
      <c r="W28" s="128" t="s">
        <v>2</v>
      </c>
      <c r="X28" s="128" t="s">
        <v>1</v>
      </c>
      <c r="Y28" s="128" t="s">
        <v>1</v>
      </c>
      <c r="Z28" s="128" t="s">
        <v>1</v>
      </c>
      <c r="AA28" s="128" t="s">
        <v>1</v>
      </c>
      <c r="AB28" s="128" t="s">
        <v>2</v>
      </c>
      <c r="AC28" s="128" t="s">
        <v>2</v>
      </c>
      <c r="AD28" s="128" t="s">
        <v>1</v>
      </c>
      <c r="AE28" s="129" t="s">
        <v>398</v>
      </c>
      <c r="AF28" s="128" t="s">
        <v>2</v>
      </c>
      <c r="AG28" s="128" t="s">
        <v>2</v>
      </c>
      <c r="AH28" s="128" t="s">
        <v>2</v>
      </c>
      <c r="AI28" s="128" t="s">
        <v>1</v>
      </c>
      <c r="AJ28" s="128" t="s">
        <v>2</v>
      </c>
      <c r="AK28" s="128" t="s">
        <v>2</v>
      </c>
      <c r="AL28" s="128" t="s">
        <v>2</v>
      </c>
      <c r="AM28" s="128" t="s">
        <v>2</v>
      </c>
      <c r="AN28" s="128" t="s">
        <v>2</v>
      </c>
    </row>
    <row r="29" spans="13:40" ht="72.599999999999994" thickBot="1" x14ac:dyDescent="0.35">
      <c r="M29" s="103">
        <v>22</v>
      </c>
      <c r="N29" s="438"/>
      <c r="O29" s="104" t="s">
        <v>439</v>
      </c>
      <c r="P29" s="439"/>
      <c r="Q29" s="428"/>
      <c r="R29" s="128" t="s">
        <v>416</v>
      </c>
      <c r="S29" s="128" t="s">
        <v>2</v>
      </c>
      <c r="T29" s="128" t="s">
        <v>1</v>
      </c>
      <c r="U29" s="128" t="s">
        <v>1</v>
      </c>
      <c r="V29" s="128" t="s">
        <v>2</v>
      </c>
      <c r="W29" s="128" t="s">
        <v>2</v>
      </c>
      <c r="X29" s="128" t="s">
        <v>1</v>
      </c>
      <c r="Y29" s="128" t="s">
        <v>1</v>
      </c>
      <c r="Z29" s="128" t="s">
        <v>1</v>
      </c>
      <c r="AA29" s="128" t="s">
        <v>1</v>
      </c>
      <c r="AB29" s="128" t="s">
        <v>2</v>
      </c>
      <c r="AC29" s="128" t="s">
        <v>2</v>
      </c>
      <c r="AD29" s="128" t="s">
        <v>1</v>
      </c>
      <c r="AE29" s="129" t="s">
        <v>398</v>
      </c>
      <c r="AF29" s="128" t="s">
        <v>2</v>
      </c>
      <c r="AG29" s="128" t="s">
        <v>2</v>
      </c>
      <c r="AH29" s="128" t="s">
        <v>2</v>
      </c>
      <c r="AI29" s="128" t="s">
        <v>1</v>
      </c>
      <c r="AJ29" s="128" t="s">
        <v>2</v>
      </c>
      <c r="AK29" s="128" t="s">
        <v>2</v>
      </c>
      <c r="AL29" s="128" t="s">
        <v>2</v>
      </c>
      <c r="AM29" s="128" t="s">
        <v>2</v>
      </c>
      <c r="AN29" s="128" t="s">
        <v>2</v>
      </c>
    </row>
    <row r="30" spans="13:40" ht="72.599999999999994" thickBot="1" x14ac:dyDescent="0.35">
      <c r="M30" s="103">
        <v>23</v>
      </c>
      <c r="N30" s="438"/>
      <c r="O30" s="104" t="s">
        <v>440</v>
      </c>
      <c r="P30" s="439"/>
      <c r="Q30" s="428"/>
      <c r="R30" s="128" t="s">
        <v>416</v>
      </c>
      <c r="S30" s="128" t="s">
        <v>2</v>
      </c>
      <c r="T30" s="128" t="s">
        <v>1</v>
      </c>
      <c r="U30" s="128" t="s">
        <v>1</v>
      </c>
      <c r="V30" s="128" t="s">
        <v>2</v>
      </c>
      <c r="W30" s="128" t="s">
        <v>2</v>
      </c>
      <c r="X30" s="128" t="s">
        <v>1</v>
      </c>
      <c r="Y30" s="128" t="s">
        <v>1</v>
      </c>
      <c r="Z30" s="128" t="s">
        <v>1</v>
      </c>
      <c r="AA30" s="128" t="s">
        <v>1</v>
      </c>
      <c r="AB30" s="128" t="s">
        <v>2</v>
      </c>
      <c r="AC30" s="128" t="s">
        <v>2</v>
      </c>
      <c r="AD30" s="128" t="s">
        <v>1</v>
      </c>
      <c r="AE30" s="129" t="s">
        <v>398</v>
      </c>
      <c r="AF30" s="128" t="s">
        <v>2</v>
      </c>
      <c r="AG30" s="128" t="s">
        <v>2</v>
      </c>
      <c r="AH30" s="128" t="s">
        <v>2</v>
      </c>
      <c r="AI30" s="128" t="s">
        <v>1</v>
      </c>
      <c r="AJ30" s="128" t="s">
        <v>2</v>
      </c>
      <c r="AK30" s="128" t="s">
        <v>2</v>
      </c>
      <c r="AL30" s="128" t="s">
        <v>2</v>
      </c>
      <c r="AM30" s="128" t="s">
        <v>2</v>
      </c>
      <c r="AN30" s="128" t="s">
        <v>2</v>
      </c>
    </row>
    <row r="31" spans="13:40" ht="72.599999999999994" thickBot="1" x14ac:dyDescent="0.35">
      <c r="M31" s="103">
        <v>24</v>
      </c>
      <c r="N31" s="438"/>
      <c r="O31" s="104" t="s">
        <v>441</v>
      </c>
      <c r="P31" s="439"/>
      <c r="Q31" s="428"/>
      <c r="R31" s="128" t="s">
        <v>416</v>
      </c>
      <c r="S31" s="128" t="s">
        <v>2</v>
      </c>
      <c r="T31" s="128" t="s">
        <v>1</v>
      </c>
      <c r="U31" s="128" t="s">
        <v>1</v>
      </c>
      <c r="V31" s="128" t="s">
        <v>2</v>
      </c>
      <c r="W31" s="128" t="s">
        <v>2</v>
      </c>
      <c r="X31" s="128" t="s">
        <v>1</v>
      </c>
      <c r="Y31" s="128" t="s">
        <v>1</v>
      </c>
      <c r="Z31" s="128" t="s">
        <v>1</v>
      </c>
      <c r="AA31" s="128" t="s">
        <v>1</v>
      </c>
      <c r="AB31" s="128" t="s">
        <v>2</v>
      </c>
      <c r="AC31" s="128" t="s">
        <v>2</v>
      </c>
      <c r="AD31" s="128" t="s">
        <v>1</v>
      </c>
      <c r="AE31" s="129" t="s">
        <v>398</v>
      </c>
      <c r="AF31" s="128" t="s">
        <v>2</v>
      </c>
      <c r="AG31" s="128" t="s">
        <v>2</v>
      </c>
      <c r="AH31" s="128" t="s">
        <v>2</v>
      </c>
      <c r="AI31" s="128" t="s">
        <v>1</v>
      </c>
      <c r="AJ31" s="128" t="s">
        <v>2</v>
      </c>
      <c r="AK31" s="128" t="s">
        <v>2</v>
      </c>
      <c r="AL31" s="128" t="s">
        <v>2</v>
      </c>
      <c r="AM31" s="128" t="s">
        <v>2</v>
      </c>
      <c r="AN31" s="128" t="s">
        <v>2</v>
      </c>
    </row>
    <row r="32" spans="13:40" ht="72.599999999999994" thickBot="1" x14ac:dyDescent="0.35">
      <c r="M32" s="103">
        <v>25</v>
      </c>
      <c r="N32" s="431"/>
      <c r="O32" s="104" t="s">
        <v>442</v>
      </c>
      <c r="P32" s="433"/>
      <c r="Q32" s="429"/>
      <c r="R32" s="128" t="s">
        <v>416</v>
      </c>
      <c r="S32" s="128" t="s">
        <v>2</v>
      </c>
      <c r="T32" s="128" t="s">
        <v>1</v>
      </c>
      <c r="U32" s="128" t="s">
        <v>1</v>
      </c>
      <c r="V32" s="128" t="s">
        <v>2</v>
      </c>
      <c r="W32" s="128" t="s">
        <v>2</v>
      </c>
      <c r="X32" s="128" t="s">
        <v>1</v>
      </c>
      <c r="Y32" s="128" t="s">
        <v>1</v>
      </c>
      <c r="Z32" s="128" t="s">
        <v>1</v>
      </c>
      <c r="AA32" s="128" t="s">
        <v>1</v>
      </c>
      <c r="AB32" s="128" t="s">
        <v>2</v>
      </c>
      <c r="AC32" s="128" t="s">
        <v>2</v>
      </c>
      <c r="AD32" s="128" t="s">
        <v>1</v>
      </c>
      <c r="AE32" s="129" t="s">
        <v>398</v>
      </c>
      <c r="AF32" s="128" t="s">
        <v>2</v>
      </c>
      <c r="AG32" s="128" t="s">
        <v>2</v>
      </c>
      <c r="AH32" s="128" t="s">
        <v>2</v>
      </c>
      <c r="AI32" s="128" t="s">
        <v>1</v>
      </c>
      <c r="AJ32" s="128" t="s">
        <v>2</v>
      </c>
      <c r="AK32" s="128" t="s">
        <v>2</v>
      </c>
      <c r="AL32" s="128" t="s">
        <v>2</v>
      </c>
      <c r="AM32" s="128" t="s">
        <v>2</v>
      </c>
      <c r="AN32" s="128" t="s">
        <v>2</v>
      </c>
    </row>
    <row r="33" spans="10:42" ht="36.6" thickBot="1" x14ac:dyDescent="0.35">
      <c r="M33" s="103">
        <v>26</v>
      </c>
      <c r="N33" s="421" t="s">
        <v>367</v>
      </c>
      <c r="O33" s="104" t="s">
        <v>368</v>
      </c>
      <c r="P33" s="424" t="s">
        <v>369</v>
      </c>
      <c r="Q33" s="427">
        <v>0.9</v>
      </c>
      <c r="R33" s="132" t="s">
        <v>274</v>
      </c>
      <c r="S33" s="128" t="s">
        <v>416</v>
      </c>
      <c r="T33" s="132" t="s">
        <v>274</v>
      </c>
      <c r="U33" s="132" t="s">
        <v>274</v>
      </c>
      <c r="V33" s="132" t="s">
        <v>274</v>
      </c>
      <c r="W33" s="132" t="s">
        <v>274</v>
      </c>
      <c r="X33" s="132" t="s">
        <v>274</v>
      </c>
      <c r="Y33" s="132" t="s">
        <v>274</v>
      </c>
      <c r="Z33" s="132" t="s">
        <v>274</v>
      </c>
      <c r="AA33" s="132" t="s">
        <v>274</v>
      </c>
      <c r="AB33" s="132" t="s">
        <v>274</v>
      </c>
      <c r="AC33" s="132" t="s">
        <v>274</v>
      </c>
      <c r="AD33" s="132" t="s">
        <v>274</v>
      </c>
      <c r="AE33" s="132" t="s">
        <v>274</v>
      </c>
      <c r="AF33" s="132" t="s">
        <v>274</v>
      </c>
      <c r="AG33" s="132" t="s">
        <v>274</v>
      </c>
      <c r="AH33" s="132" t="s">
        <v>274</v>
      </c>
      <c r="AI33" s="132" t="s">
        <v>274</v>
      </c>
      <c r="AJ33" s="132" t="s">
        <v>274</v>
      </c>
      <c r="AK33" s="132" t="s">
        <v>274</v>
      </c>
      <c r="AL33" s="132" t="s">
        <v>274</v>
      </c>
      <c r="AM33" s="132" t="s">
        <v>274</v>
      </c>
      <c r="AN33" s="132" t="s">
        <v>274</v>
      </c>
    </row>
    <row r="34" spans="10:42" ht="36.6" thickBot="1" x14ac:dyDescent="0.35">
      <c r="M34" s="103">
        <v>27</v>
      </c>
      <c r="N34" s="422"/>
      <c r="O34" s="104" t="s">
        <v>753</v>
      </c>
      <c r="P34" s="425"/>
      <c r="Q34" s="428"/>
      <c r="R34" s="132" t="s">
        <v>274</v>
      </c>
      <c r="S34" s="128" t="s">
        <v>416</v>
      </c>
      <c r="T34" s="132" t="s">
        <v>274</v>
      </c>
      <c r="U34" s="132" t="s">
        <v>274</v>
      </c>
      <c r="V34" s="132" t="s">
        <v>274</v>
      </c>
      <c r="W34" s="132" t="s">
        <v>274</v>
      </c>
      <c r="X34" s="132" t="s">
        <v>274</v>
      </c>
      <c r="Y34" s="132" t="s">
        <v>274</v>
      </c>
      <c r="Z34" s="132" t="s">
        <v>274</v>
      </c>
      <c r="AA34" s="132" t="s">
        <v>274</v>
      </c>
      <c r="AB34" s="132" t="s">
        <v>274</v>
      </c>
      <c r="AC34" s="132" t="s">
        <v>274</v>
      </c>
      <c r="AD34" s="132" t="s">
        <v>274</v>
      </c>
      <c r="AE34" s="132" t="s">
        <v>274</v>
      </c>
      <c r="AF34" s="132" t="s">
        <v>274</v>
      </c>
      <c r="AG34" s="132" t="s">
        <v>274</v>
      </c>
      <c r="AH34" s="132" t="s">
        <v>274</v>
      </c>
      <c r="AI34" s="132" t="s">
        <v>274</v>
      </c>
      <c r="AJ34" s="132" t="s">
        <v>274</v>
      </c>
      <c r="AK34" s="132" t="s">
        <v>274</v>
      </c>
      <c r="AL34" s="132" t="s">
        <v>274</v>
      </c>
      <c r="AM34" s="132" t="s">
        <v>274</v>
      </c>
      <c r="AN34" s="132" t="s">
        <v>274</v>
      </c>
    </row>
    <row r="35" spans="10:42" ht="36.6" thickBot="1" x14ac:dyDescent="0.35">
      <c r="M35" s="103">
        <v>28</v>
      </c>
      <c r="N35" s="422"/>
      <c r="O35" s="104" t="s">
        <v>754</v>
      </c>
      <c r="P35" s="425"/>
      <c r="Q35" s="428"/>
      <c r="R35" s="128" t="s">
        <v>2</v>
      </c>
      <c r="S35" s="128" t="s">
        <v>416</v>
      </c>
      <c r="T35" s="132" t="s">
        <v>274</v>
      </c>
      <c r="U35" s="132" t="s">
        <v>274</v>
      </c>
      <c r="V35" s="132" t="s">
        <v>274</v>
      </c>
      <c r="W35" s="132" t="s">
        <v>274</v>
      </c>
      <c r="X35" s="132" t="s">
        <v>274</v>
      </c>
      <c r="Y35" s="132" t="s">
        <v>274</v>
      </c>
      <c r="Z35" s="132" t="s">
        <v>274</v>
      </c>
      <c r="AA35" s="132" t="s">
        <v>274</v>
      </c>
      <c r="AB35" s="132" t="s">
        <v>274</v>
      </c>
      <c r="AC35" s="132" t="s">
        <v>274</v>
      </c>
      <c r="AD35" s="132" t="s">
        <v>274</v>
      </c>
      <c r="AE35" s="132" t="s">
        <v>274</v>
      </c>
      <c r="AF35" s="132" t="s">
        <v>274</v>
      </c>
      <c r="AG35" s="132" t="s">
        <v>274</v>
      </c>
      <c r="AH35" s="132" t="s">
        <v>274</v>
      </c>
      <c r="AI35" s="132" t="s">
        <v>274</v>
      </c>
      <c r="AJ35" s="132" t="s">
        <v>274</v>
      </c>
      <c r="AK35" s="132" t="s">
        <v>274</v>
      </c>
      <c r="AL35" s="132" t="s">
        <v>274</v>
      </c>
      <c r="AM35" s="132" t="s">
        <v>274</v>
      </c>
      <c r="AN35" s="132" t="s">
        <v>274</v>
      </c>
    </row>
    <row r="36" spans="10:42" ht="36.6" thickBot="1" x14ac:dyDescent="0.35">
      <c r="M36" s="103">
        <v>29</v>
      </c>
      <c r="N36" s="422"/>
      <c r="O36" s="104" t="s">
        <v>370</v>
      </c>
      <c r="P36" s="425"/>
      <c r="Q36" s="428"/>
      <c r="R36" s="128" t="s">
        <v>2</v>
      </c>
      <c r="S36" s="128" t="s">
        <v>416</v>
      </c>
      <c r="T36" s="132" t="s">
        <v>274</v>
      </c>
      <c r="U36" s="132" t="s">
        <v>274</v>
      </c>
      <c r="V36" s="132" t="s">
        <v>274</v>
      </c>
      <c r="W36" s="132" t="s">
        <v>274</v>
      </c>
      <c r="X36" s="132" t="s">
        <v>274</v>
      </c>
      <c r="Y36" s="132" t="s">
        <v>274</v>
      </c>
      <c r="Z36" s="132" t="s">
        <v>274</v>
      </c>
      <c r="AA36" s="132" t="s">
        <v>274</v>
      </c>
      <c r="AB36" s="132" t="s">
        <v>274</v>
      </c>
      <c r="AC36" s="132" t="s">
        <v>274</v>
      </c>
      <c r="AD36" s="132" t="s">
        <v>274</v>
      </c>
      <c r="AE36" s="132" t="s">
        <v>274</v>
      </c>
      <c r="AF36" s="132" t="s">
        <v>274</v>
      </c>
      <c r="AG36" s="132" t="s">
        <v>274</v>
      </c>
      <c r="AH36" s="132" t="s">
        <v>274</v>
      </c>
      <c r="AI36" s="132" t="s">
        <v>274</v>
      </c>
      <c r="AJ36" s="132" t="s">
        <v>274</v>
      </c>
      <c r="AK36" s="132" t="s">
        <v>274</v>
      </c>
      <c r="AL36" s="132" t="s">
        <v>274</v>
      </c>
      <c r="AM36" s="132" t="s">
        <v>274</v>
      </c>
      <c r="AN36" s="132" t="s">
        <v>274</v>
      </c>
    </row>
    <row r="37" spans="10:42" ht="36.6" thickBot="1" x14ac:dyDescent="0.35">
      <c r="M37" s="103">
        <v>30</v>
      </c>
      <c r="N37" s="422"/>
      <c r="O37" s="104" t="s">
        <v>371</v>
      </c>
      <c r="P37" s="425"/>
      <c r="Q37" s="428"/>
      <c r="R37" s="128" t="s">
        <v>2</v>
      </c>
      <c r="S37" s="128" t="s">
        <v>416</v>
      </c>
      <c r="T37" s="132" t="s">
        <v>274</v>
      </c>
      <c r="U37" s="132" t="s">
        <v>274</v>
      </c>
      <c r="V37" s="132" t="s">
        <v>274</v>
      </c>
      <c r="W37" s="132" t="s">
        <v>274</v>
      </c>
      <c r="X37" s="132" t="s">
        <v>274</v>
      </c>
      <c r="Y37" s="132" t="s">
        <v>274</v>
      </c>
      <c r="Z37" s="132" t="s">
        <v>274</v>
      </c>
      <c r="AA37" s="132" t="s">
        <v>274</v>
      </c>
      <c r="AB37" s="132" t="s">
        <v>274</v>
      </c>
      <c r="AC37" s="132" t="s">
        <v>274</v>
      </c>
      <c r="AD37" s="132" t="s">
        <v>274</v>
      </c>
      <c r="AE37" s="132" t="s">
        <v>274</v>
      </c>
      <c r="AF37" s="132" t="s">
        <v>274</v>
      </c>
      <c r="AG37" s="132" t="s">
        <v>274</v>
      </c>
      <c r="AH37" s="132" t="s">
        <v>274</v>
      </c>
      <c r="AI37" s="132" t="s">
        <v>274</v>
      </c>
      <c r="AJ37" s="132" t="s">
        <v>274</v>
      </c>
      <c r="AK37" s="132" t="s">
        <v>274</v>
      </c>
      <c r="AL37" s="132" t="s">
        <v>274</v>
      </c>
      <c r="AM37" s="132" t="s">
        <v>274</v>
      </c>
      <c r="AN37" s="132" t="s">
        <v>274</v>
      </c>
    </row>
    <row r="38" spans="10:42" ht="36.6" thickBot="1" x14ac:dyDescent="0.35">
      <c r="M38" s="103">
        <v>31</v>
      </c>
      <c r="N38" s="422"/>
      <c r="O38" s="104" t="s">
        <v>372</v>
      </c>
      <c r="P38" s="425"/>
      <c r="Q38" s="428"/>
      <c r="R38" s="128" t="s">
        <v>2</v>
      </c>
      <c r="S38" s="128" t="s">
        <v>416</v>
      </c>
      <c r="T38" s="132" t="s">
        <v>274</v>
      </c>
      <c r="U38" s="132" t="s">
        <v>274</v>
      </c>
      <c r="V38" s="132" t="s">
        <v>274</v>
      </c>
      <c r="W38" s="132" t="s">
        <v>274</v>
      </c>
      <c r="X38" s="132" t="s">
        <v>274</v>
      </c>
      <c r="Y38" s="132" t="s">
        <v>274</v>
      </c>
      <c r="Z38" s="132" t="s">
        <v>274</v>
      </c>
      <c r="AA38" s="132" t="s">
        <v>274</v>
      </c>
      <c r="AB38" s="132" t="s">
        <v>274</v>
      </c>
      <c r="AC38" s="132" t="s">
        <v>274</v>
      </c>
      <c r="AD38" s="132" t="s">
        <v>274</v>
      </c>
      <c r="AE38" s="132" t="s">
        <v>274</v>
      </c>
      <c r="AF38" s="132" t="s">
        <v>274</v>
      </c>
      <c r="AG38" s="132" t="s">
        <v>274</v>
      </c>
      <c r="AH38" s="132" t="s">
        <v>274</v>
      </c>
      <c r="AI38" s="132" t="s">
        <v>274</v>
      </c>
      <c r="AJ38" s="132" t="s">
        <v>274</v>
      </c>
      <c r="AK38" s="132" t="s">
        <v>274</v>
      </c>
      <c r="AL38" s="132" t="s">
        <v>274</v>
      </c>
      <c r="AM38" s="132" t="s">
        <v>274</v>
      </c>
      <c r="AN38" s="132" t="s">
        <v>274</v>
      </c>
    </row>
    <row r="39" spans="10:42" ht="36.6" thickBot="1" x14ac:dyDescent="0.35">
      <c r="M39" s="103">
        <v>32</v>
      </c>
      <c r="N39" s="422"/>
      <c r="O39" s="104" t="s">
        <v>373</v>
      </c>
      <c r="P39" s="425"/>
      <c r="Q39" s="428"/>
      <c r="R39" s="128" t="s">
        <v>2</v>
      </c>
      <c r="S39" s="128" t="s">
        <v>416</v>
      </c>
      <c r="T39" s="132" t="s">
        <v>274</v>
      </c>
      <c r="U39" s="132" t="s">
        <v>274</v>
      </c>
      <c r="V39" s="132" t="s">
        <v>274</v>
      </c>
      <c r="W39" s="132" t="s">
        <v>274</v>
      </c>
      <c r="X39" s="132" t="s">
        <v>274</v>
      </c>
      <c r="Y39" s="132" t="s">
        <v>274</v>
      </c>
      <c r="Z39" s="132" t="s">
        <v>274</v>
      </c>
      <c r="AA39" s="132" t="s">
        <v>274</v>
      </c>
      <c r="AB39" s="132" t="s">
        <v>274</v>
      </c>
      <c r="AC39" s="132" t="s">
        <v>274</v>
      </c>
      <c r="AD39" s="132" t="s">
        <v>274</v>
      </c>
      <c r="AE39" s="132" t="s">
        <v>274</v>
      </c>
      <c r="AF39" s="132" t="s">
        <v>274</v>
      </c>
      <c r="AG39" s="132" t="s">
        <v>274</v>
      </c>
      <c r="AH39" s="132" t="s">
        <v>274</v>
      </c>
      <c r="AI39" s="132" t="s">
        <v>274</v>
      </c>
      <c r="AJ39" s="132" t="s">
        <v>274</v>
      </c>
      <c r="AK39" s="132" t="s">
        <v>274</v>
      </c>
      <c r="AL39" s="132" t="s">
        <v>274</v>
      </c>
      <c r="AM39" s="132" t="s">
        <v>274</v>
      </c>
      <c r="AN39" s="132" t="s">
        <v>274</v>
      </c>
    </row>
    <row r="40" spans="10:42" ht="36.6" thickBot="1" x14ac:dyDescent="0.35">
      <c r="M40" s="103">
        <v>33</v>
      </c>
      <c r="N40" s="422"/>
      <c r="O40" s="104" t="s">
        <v>374</v>
      </c>
      <c r="P40" s="425"/>
      <c r="Q40" s="428"/>
      <c r="R40" s="128" t="s">
        <v>2</v>
      </c>
      <c r="S40" s="128" t="s">
        <v>416</v>
      </c>
      <c r="T40" s="132" t="s">
        <v>274</v>
      </c>
      <c r="U40" s="132" t="s">
        <v>274</v>
      </c>
      <c r="V40" s="132" t="s">
        <v>274</v>
      </c>
      <c r="W40" s="132" t="s">
        <v>274</v>
      </c>
      <c r="X40" s="132" t="s">
        <v>274</v>
      </c>
      <c r="Y40" s="132" t="s">
        <v>274</v>
      </c>
      <c r="Z40" s="132" t="s">
        <v>274</v>
      </c>
      <c r="AA40" s="132" t="s">
        <v>274</v>
      </c>
      <c r="AB40" s="132" t="s">
        <v>274</v>
      </c>
      <c r="AC40" s="132" t="s">
        <v>274</v>
      </c>
      <c r="AD40" s="132" t="s">
        <v>274</v>
      </c>
      <c r="AE40" s="132" t="s">
        <v>274</v>
      </c>
      <c r="AF40" s="132" t="s">
        <v>274</v>
      </c>
      <c r="AG40" s="132" t="s">
        <v>274</v>
      </c>
      <c r="AH40" s="132" t="s">
        <v>274</v>
      </c>
      <c r="AI40" s="132" t="s">
        <v>274</v>
      </c>
      <c r="AJ40" s="132" t="s">
        <v>274</v>
      </c>
      <c r="AK40" s="132" t="s">
        <v>274</v>
      </c>
      <c r="AL40" s="132" t="s">
        <v>274</v>
      </c>
      <c r="AM40" s="132" t="s">
        <v>274</v>
      </c>
      <c r="AN40" s="132" t="s">
        <v>274</v>
      </c>
    </row>
    <row r="41" spans="10:42" ht="36.6" thickBot="1" x14ac:dyDescent="0.35">
      <c r="M41" s="103">
        <v>34</v>
      </c>
      <c r="N41" s="422"/>
      <c r="O41" s="104" t="s">
        <v>375</v>
      </c>
      <c r="P41" s="425"/>
      <c r="Q41" s="429"/>
      <c r="R41" s="128" t="s">
        <v>2</v>
      </c>
      <c r="S41" s="128" t="s">
        <v>416</v>
      </c>
      <c r="T41" s="132" t="s">
        <v>274</v>
      </c>
      <c r="U41" s="132" t="s">
        <v>274</v>
      </c>
      <c r="V41" s="132" t="s">
        <v>274</v>
      </c>
      <c r="W41" s="132" t="s">
        <v>274</v>
      </c>
      <c r="X41" s="132" t="s">
        <v>274</v>
      </c>
      <c r="Y41" s="132" t="s">
        <v>274</v>
      </c>
      <c r="Z41" s="132" t="s">
        <v>274</v>
      </c>
      <c r="AA41" s="132" t="s">
        <v>274</v>
      </c>
      <c r="AB41" s="132" t="s">
        <v>274</v>
      </c>
      <c r="AC41" s="132" t="s">
        <v>274</v>
      </c>
      <c r="AD41" s="132" t="s">
        <v>274</v>
      </c>
      <c r="AE41" s="132" t="s">
        <v>274</v>
      </c>
      <c r="AF41" s="132" t="s">
        <v>274</v>
      </c>
      <c r="AG41" s="132" t="s">
        <v>274</v>
      </c>
      <c r="AH41" s="132" t="s">
        <v>274</v>
      </c>
      <c r="AI41" s="132" t="s">
        <v>274</v>
      </c>
      <c r="AJ41" s="132" t="s">
        <v>274</v>
      </c>
      <c r="AK41" s="132" t="s">
        <v>274</v>
      </c>
      <c r="AL41" s="132" t="s">
        <v>274</v>
      </c>
      <c r="AM41" s="132" t="s">
        <v>274</v>
      </c>
      <c r="AN41" s="132" t="s">
        <v>274</v>
      </c>
    </row>
    <row r="42" spans="10:42" ht="72.599999999999994" thickBot="1" x14ac:dyDescent="0.35">
      <c r="M42" s="103">
        <v>35</v>
      </c>
      <c r="N42" s="422"/>
      <c r="O42" s="104" t="s">
        <v>376</v>
      </c>
      <c r="P42" s="425"/>
      <c r="Q42" s="427">
        <v>0.1</v>
      </c>
      <c r="R42" s="128" t="s">
        <v>416</v>
      </c>
      <c r="S42" s="128" t="s">
        <v>2</v>
      </c>
      <c r="T42" s="128" t="s">
        <v>1</v>
      </c>
      <c r="U42" s="128" t="s">
        <v>2</v>
      </c>
      <c r="V42" s="128" t="s">
        <v>2</v>
      </c>
      <c r="W42" s="128" t="s">
        <v>2</v>
      </c>
      <c r="X42" s="128" t="s">
        <v>1</v>
      </c>
      <c r="Y42" s="128" t="s">
        <v>1</v>
      </c>
      <c r="Z42" s="128" t="s">
        <v>1</v>
      </c>
      <c r="AA42" s="128" t="s">
        <v>1</v>
      </c>
      <c r="AB42" s="128" t="s">
        <v>1</v>
      </c>
      <c r="AC42" s="128" t="s">
        <v>1</v>
      </c>
      <c r="AD42" s="128" t="s">
        <v>1</v>
      </c>
      <c r="AE42" s="129" t="s">
        <v>398</v>
      </c>
      <c r="AF42" s="128" t="s">
        <v>1</v>
      </c>
      <c r="AG42" s="128" t="s">
        <v>2</v>
      </c>
      <c r="AH42" s="128" t="s">
        <v>2</v>
      </c>
      <c r="AI42" s="128" t="s">
        <v>1</v>
      </c>
      <c r="AJ42" s="128" t="s">
        <v>2</v>
      </c>
      <c r="AK42" s="128" t="s">
        <v>2</v>
      </c>
      <c r="AL42" s="128" t="s">
        <v>2</v>
      </c>
      <c r="AM42" s="128" t="s">
        <v>2</v>
      </c>
      <c r="AN42" s="128" t="s">
        <v>2</v>
      </c>
    </row>
    <row r="43" spans="10:42" ht="72.599999999999994" thickBot="1" x14ac:dyDescent="0.35">
      <c r="M43" s="103">
        <v>36</v>
      </c>
      <c r="N43" s="423"/>
      <c r="O43" s="104" t="s">
        <v>377</v>
      </c>
      <c r="P43" s="426"/>
      <c r="Q43" s="429"/>
      <c r="R43" s="128" t="s">
        <v>416</v>
      </c>
      <c r="S43" s="128" t="s">
        <v>2</v>
      </c>
      <c r="T43" s="128" t="s">
        <v>1</v>
      </c>
      <c r="U43" s="128" t="s">
        <v>2</v>
      </c>
      <c r="V43" s="128" t="s">
        <v>2</v>
      </c>
      <c r="W43" s="128" t="s">
        <v>2</v>
      </c>
      <c r="X43" s="128" t="s">
        <v>1</v>
      </c>
      <c r="Y43" s="128" t="s">
        <v>1</v>
      </c>
      <c r="Z43" s="128" t="s">
        <v>1</v>
      </c>
      <c r="AA43" s="128" t="s">
        <v>1</v>
      </c>
      <c r="AB43" s="128" t="s">
        <v>1</v>
      </c>
      <c r="AC43" s="128" t="s">
        <v>1</v>
      </c>
      <c r="AD43" s="128" t="s">
        <v>1</v>
      </c>
      <c r="AE43" s="129" t="s">
        <v>398</v>
      </c>
      <c r="AF43" s="128" t="s">
        <v>1</v>
      </c>
      <c r="AG43" s="128" t="s">
        <v>2</v>
      </c>
      <c r="AH43" s="128" t="s">
        <v>2</v>
      </c>
      <c r="AI43" s="128" t="s">
        <v>1</v>
      </c>
      <c r="AJ43" s="128" t="s">
        <v>2</v>
      </c>
      <c r="AK43" s="128" t="s">
        <v>2</v>
      </c>
      <c r="AL43" s="128" t="s">
        <v>2</v>
      </c>
      <c r="AM43" s="128" t="s">
        <v>2</v>
      </c>
      <c r="AN43" s="128" t="s">
        <v>2</v>
      </c>
    </row>
    <row r="44" spans="10:42" ht="36.6" thickBot="1" x14ac:dyDescent="0.35">
      <c r="M44" s="103">
        <v>37</v>
      </c>
      <c r="N44" s="435" t="s">
        <v>378</v>
      </c>
      <c r="O44" s="104" t="s">
        <v>379</v>
      </c>
      <c r="P44" s="434">
        <v>46255</v>
      </c>
      <c r="Q44" s="427">
        <v>1</v>
      </c>
      <c r="R44" s="128" t="s">
        <v>416</v>
      </c>
      <c r="S44" s="132" t="s">
        <v>274</v>
      </c>
      <c r="T44" s="132" t="s">
        <v>274</v>
      </c>
      <c r="U44" s="132" t="s">
        <v>274</v>
      </c>
      <c r="V44" s="132" t="s">
        <v>274</v>
      </c>
      <c r="W44" s="132" t="s">
        <v>274</v>
      </c>
      <c r="X44" s="132" t="s">
        <v>274</v>
      </c>
      <c r="Y44" s="132" t="s">
        <v>274</v>
      </c>
      <c r="Z44" s="132" t="s">
        <v>274</v>
      </c>
      <c r="AA44" s="132" t="s">
        <v>274</v>
      </c>
      <c r="AB44" s="132" t="s">
        <v>274</v>
      </c>
      <c r="AC44" s="132" t="s">
        <v>274</v>
      </c>
      <c r="AD44" s="132" t="s">
        <v>274</v>
      </c>
      <c r="AE44" s="132" t="s">
        <v>274</v>
      </c>
      <c r="AF44" s="132" t="s">
        <v>274</v>
      </c>
      <c r="AG44" s="132" t="s">
        <v>274</v>
      </c>
      <c r="AH44" s="132" t="s">
        <v>274</v>
      </c>
      <c r="AI44" s="132" t="s">
        <v>274</v>
      </c>
      <c r="AJ44" s="132" t="s">
        <v>274</v>
      </c>
      <c r="AK44" s="132" t="s">
        <v>274</v>
      </c>
      <c r="AL44" s="132" t="s">
        <v>274</v>
      </c>
      <c r="AM44" s="132" t="s">
        <v>274</v>
      </c>
      <c r="AN44" s="128" t="s">
        <v>416</v>
      </c>
    </row>
    <row r="45" spans="10:42" ht="36.6" thickBot="1" x14ac:dyDescent="0.35">
      <c r="M45" s="103">
        <v>38</v>
      </c>
      <c r="N45" s="436"/>
      <c r="O45" s="104" t="s">
        <v>59</v>
      </c>
      <c r="P45" s="425"/>
      <c r="Q45" s="428"/>
      <c r="R45" s="128" t="s">
        <v>416</v>
      </c>
      <c r="S45" s="132" t="s">
        <v>274</v>
      </c>
      <c r="T45" s="132" t="s">
        <v>274</v>
      </c>
      <c r="U45" s="132" t="s">
        <v>274</v>
      </c>
      <c r="V45" s="132" t="s">
        <v>274</v>
      </c>
      <c r="W45" s="132" t="s">
        <v>274</v>
      </c>
      <c r="X45" s="132" t="s">
        <v>274</v>
      </c>
      <c r="Y45" s="132" t="s">
        <v>274</v>
      </c>
      <c r="Z45" s="132" t="s">
        <v>274</v>
      </c>
      <c r="AA45" s="132" t="s">
        <v>274</v>
      </c>
      <c r="AB45" s="132" t="s">
        <v>274</v>
      </c>
      <c r="AC45" s="132" t="s">
        <v>274</v>
      </c>
      <c r="AD45" s="132" t="s">
        <v>274</v>
      </c>
      <c r="AE45" s="132" t="s">
        <v>274</v>
      </c>
      <c r="AF45" s="132" t="s">
        <v>274</v>
      </c>
      <c r="AG45" s="132" t="s">
        <v>274</v>
      </c>
      <c r="AH45" s="132" t="s">
        <v>274</v>
      </c>
      <c r="AI45" s="132" t="s">
        <v>274</v>
      </c>
      <c r="AJ45" s="132" t="s">
        <v>274</v>
      </c>
      <c r="AK45" s="132" t="s">
        <v>274</v>
      </c>
      <c r="AL45" s="132" t="s">
        <v>274</v>
      </c>
      <c r="AM45" s="132" t="s">
        <v>274</v>
      </c>
      <c r="AN45" s="128" t="s">
        <v>416</v>
      </c>
      <c r="AP45" t="s">
        <v>713</v>
      </c>
    </row>
    <row r="46" spans="10:42" ht="36.6" thickBot="1" x14ac:dyDescent="0.35">
      <c r="M46" s="103">
        <v>39</v>
      </c>
      <c r="N46" s="436"/>
      <c r="O46" s="104" t="s">
        <v>380</v>
      </c>
      <c r="P46" s="425"/>
      <c r="Q46" s="428"/>
      <c r="R46" s="128" t="s">
        <v>416</v>
      </c>
      <c r="S46" s="132" t="s">
        <v>274</v>
      </c>
      <c r="T46" s="132" t="s">
        <v>274</v>
      </c>
      <c r="U46" s="132" t="s">
        <v>274</v>
      </c>
      <c r="V46" s="132" t="s">
        <v>274</v>
      </c>
      <c r="W46" s="132" t="s">
        <v>274</v>
      </c>
      <c r="X46" s="132" t="s">
        <v>274</v>
      </c>
      <c r="Y46" s="132" t="s">
        <v>274</v>
      </c>
      <c r="Z46" s="132" t="s">
        <v>274</v>
      </c>
      <c r="AA46" s="132" t="s">
        <v>274</v>
      </c>
      <c r="AB46" s="132" t="s">
        <v>274</v>
      </c>
      <c r="AC46" s="132" t="s">
        <v>274</v>
      </c>
      <c r="AD46" s="132" t="s">
        <v>274</v>
      </c>
      <c r="AE46" s="132" t="s">
        <v>274</v>
      </c>
      <c r="AF46" s="132" t="s">
        <v>274</v>
      </c>
      <c r="AG46" s="132" t="s">
        <v>274</v>
      </c>
      <c r="AH46" s="132" t="s">
        <v>274</v>
      </c>
      <c r="AI46" s="132" t="s">
        <v>274</v>
      </c>
      <c r="AJ46" s="132" t="s">
        <v>274</v>
      </c>
      <c r="AK46" s="132" t="s">
        <v>274</v>
      </c>
      <c r="AL46" s="132" t="s">
        <v>274</v>
      </c>
      <c r="AM46" s="132" t="s">
        <v>274</v>
      </c>
      <c r="AN46" s="128" t="s">
        <v>416</v>
      </c>
    </row>
    <row r="47" spans="10:42" ht="36.6" thickBot="1" x14ac:dyDescent="0.35">
      <c r="M47" s="103">
        <v>40</v>
      </c>
      <c r="N47" s="436"/>
      <c r="O47" s="104" t="s">
        <v>381</v>
      </c>
      <c r="P47" s="425"/>
      <c r="Q47" s="428"/>
      <c r="R47" s="128" t="s">
        <v>416</v>
      </c>
      <c r="S47" s="132" t="s">
        <v>274</v>
      </c>
      <c r="T47" s="132" t="s">
        <v>274</v>
      </c>
      <c r="U47" s="132" t="s">
        <v>274</v>
      </c>
      <c r="V47" s="132" t="s">
        <v>274</v>
      </c>
      <c r="W47" s="132" t="s">
        <v>274</v>
      </c>
      <c r="X47" s="132" t="s">
        <v>274</v>
      </c>
      <c r="Y47" s="132" t="s">
        <v>274</v>
      </c>
      <c r="Z47" s="132" t="s">
        <v>274</v>
      </c>
      <c r="AA47" s="132" t="s">
        <v>274</v>
      </c>
      <c r="AB47" s="132" t="s">
        <v>274</v>
      </c>
      <c r="AC47" s="132" t="s">
        <v>274</v>
      </c>
      <c r="AD47" s="132" t="s">
        <v>274</v>
      </c>
      <c r="AE47" s="132" t="s">
        <v>274</v>
      </c>
      <c r="AF47" s="132" t="s">
        <v>274</v>
      </c>
      <c r="AG47" s="132" t="s">
        <v>274</v>
      </c>
      <c r="AH47" s="132" t="s">
        <v>274</v>
      </c>
      <c r="AI47" s="132" t="s">
        <v>274</v>
      </c>
      <c r="AJ47" s="132" t="s">
        <v>274</v>
      </c>
      <c r="AK47" s="132" t="s">
        <v>274</v>
      </c>
      <c r="AL47" s="132" t="s">
        <v>274</v>
      </c>
      <c r="AM47" s="132" t="s">
        <v>274</v>
      </c>
      <c r="AN47" s="128" t="s">
        <v>416</v>
      </c>
    </row>
    <row r="48" spans="10:42" ht="36.6" thickBot="1" x14ac:dyDescent="0.35">
      <c r="J48" s="292">
        <v>46231</v>
      </c>
      <c r="M48" s="103">
        <v>41</v>
      </c>
      <c r="N48" s="436"/>
      <c r="O48" s="104" t="s">
        <v>382</v>
      </c>
      <c r="P48" s="425"/>
      <c r="Q48" s="428"/>
      <c r="R48" s="128" t="s">
        <v>416</v>
      </c>
      <c r="S48" s="132" t="s">
        <v>274</v>
      </c>
      <c r="T48" s="132" t="s">
        <v>274</v>
      </c>
      <c r="U48" s="132" t="s">
        <v>274</v>
      </c>
      <c r="V48" s="132" t="s">
        <v>274</v>
      </c>
      <c r="W48" s="132" t="s">
        <v>274</v>
      </c>
      <c r="X48" s="132" t="s">
        <v>274</v>
      </c>
      <c r="Y48" s="132" t="s">
        <v>274</v>
      </c>
      <c r="Z48" s="132" t="s">
        <v>274</v>
      </c>
      <c r="AA48" s="132" t="s">
        <v>274</v>
      </c>
      <c r="AB48" s="132" t="s">
        <v>274</v>
      </c>
      <c r="AC48" s="132" t="s">
        <v>274</v>
      </c>
      <c r="AD48" s="132" t="s">
        <v>274</v>
      </c>
      <c r="AE48" s="132" t="s">
        <v>274</v>
      </c>
      <c r="AF48" s="132" t="s">
        <v>274</v>
      </c>
      <c r="AG48" s="132" t="s">
        <v>274</v>
      </c>
      <c r="AH48" s="132" t="s">
        <v>274</v>
      </c>
      <c r="AI48" s="132" t="s">
        <v>274</v>
      </c>
      <c r="AJ48" s="132" t="s">
        <v>274</v>
      </c>
      <c r="AK48" s="132" t="s">
        <v>274</v>
      </c>
      <c r="AL48" s="132" t="s">
        <v>274</v>
      </c>
      <c r="AM48" s="132" t="s">
        <v>274</v>
      </c>
      <c r="AN48" s="128" t="s">
        <v>416</v>
      </c>
    </row>
    <row r="49" spans="13:40" ht="36.6" thickBot="1" x14ac:dyDescent="0.35">
      <c r="M49" s="103">
        <v>42</v>
      </c>
      <c r="N49" s="436"/>
      <c r="O49" s="104" t="s">
        <v>383</v>
      </c>
      <c r="P49" s="425"/>
      <c r="Q49" s="428"/>
      <c r="R49" s="128" t="s">
        <v>416</v>
      </c>
      <c r="S49" s="132" t="s">
        <v>274</v>
      </c>
      <c r="T49" s="132" t="s">
        <v>274</v>
      </c>
      <c r="U49" s="132" t="s">
        <v>274</v>
      </c>
      <c r="V49" s="132" t="s">
        <v>274</v>
      </c>
      <c r="W49" s="132" t="s">
        <v>274</v>
      </c>
      <c r="X49" s="132" t="s">
        <v>274</v>
      </c>
      <c r="Y49" s="132" t="s">
        <v>274</v>
      </c>
      <c r="Z49" s="132" t="s">
        <v>274</v>
      </c>
      <c r="AA49" s="132" t="s">
        <v>274</v>
      </c>
      <c r="AB49" s="132" t="s">
        <v>274</v>
      </c>
      <c r="AC49" s="132" t="s">
        <v>274</v>
      </c>
      <c r="AD49" s="132" t="s">
        <v>274</v>
      </c>
      <c r="AE49" s="132" t="s">
        <v>274</v>
      </c>
      <c r="AF49" s="132" t="s">
        <v>274</v>
      </c>
      <c r="AG49" s="132" t="s">
        <v>274</v>
      </c>
      <c r="AH49" s="132" t="s">
        <v>274</v>
      </c>
      <c r="AI49" s="132" t="s">
        <v>274</v>
      </c>
      <c r="AJ49" s="132" t="s">
        <v>274</v>
      </c>
      <c r="AK49" s="132" t="s">
        <v>274</v>
      </c>
      <c r="AL49" s="132" t="s">
        <v>274</v>
      </c>
      <c r="AM49" s="132" t="s">
        <v>274</v>
      </c>
      <c r="AN49" s="128" t="s">
        <v>416</v>
      </c>
    </row>
    <row r="50" spans="13:40" ht="36.6" thickBot="1" x14ac:dyDescent="0.35">
      <c r="M50" s="103">
        <v>43</v>
      </c>
      <c r="N50" s="436"/>
      <c r="O50" s="104" t="s">
        <v>384</v>
      </c>
      <c r="P50" s="425"/>
      <c r="Q50" s="428"/>
      <c r="R50" s="128" t="s">
        <v>416</v>
      </c>
      <c r="S50" s="132" t="s">
        <v>274</v>
      </c>
      <c r="T50" s="132" t="s">
        <v>274</v>
      </c>
      <c r="U50" s="132" t="s">
        <v>274</v>
      </c>
      <c r="V50" s="132" t="s">
        <v>274</v>
      </c>
      <c r="W50" s="132" t="s">
        <v>274</v>
      </c>
      <c r="X50" s="132" t="s">
        <v>274</v>
      </c>
      <c r="Y50" s="132" t="s">
        <v>274</v>
      </c>
      <c r="Z50" s="132" t="s">
        <v>274</v>
      </c>
      <c r="AA50" s="132" t="s">
        <v>274</v>
      </c>
      <c r="AB50" s="132" t="s">
        <v>274</v>
      </c>
      <c r="AC50" s="132" t="s">
        <v>274</v>
      </c>
      <c r="AD50" s="132" t="s">
        <v>274</v>
      </c>
      <c r="AE50" s="132" t="s">
        <v>274</v>
      </c>
      <c r="AF50" s="132" t="s">
        <v>274</v>
      </c>
      <c r="AG50" s="132" t="s">
        <v>274</v>
      </c>
      <c r="AH50" s="132" t="s">
        <v>274</v>
      </c>
      <c r="AI50" s="132" t="s">
        <v>274</v>
      </c>
      <c r="AJ50" s="132" t="s">
        <v>274</v>
      </c>
      <c r="AK50" s="132" t="s">
        <v>274</v>
      </c>
      <c r="AL50" s="132" t="s">
        <v>274</v>
      </c>
      <c r="AM50" s="132" t="s">
        <v>274</v>
      </c>
      <c r="AN50" s="128" t="s">
        <v>416</v>
      </c>
    </row>
    <row r="51" spans="13:40" ht="36.6" thickBot="1" x14ac:dyDescent="0.35">
      <c r="M51" s="103">
        <v>44</v>
      </c>
      <c r="N51" s="436"/>
      <c r="O51" s="104" t="s">
        <v>60</v>
      </c>
      <c r="P51" s="425"/>
      <c r="Q51" s="428"/>
      <c r="R51" s="128" t="s">
        <v>416</v>
      </c>
      <c r="S51" s="132" t="s">
        <v>274</v>
      </c>
      <c r="T51" s="132" t="s">
        <v>274</v>
      </c>
      <c r="U51" s="132" t="s">
        <v>274</v>
      </c>
      <c r="V51" s="132" t="s">
        <v>274</v>
      </c>
      <c r="W51" s="132" t="s">
        <v>274</v>
      </c>
      <c r="X51" s="132" t="s">
        <v>274</v>
      </c>
      <c r="Y51" s="132" t="s">
        <v>274</v>
      </c>
      <c r="Z51" s="132" t="s">
        <v>274</v>
      </c>
      <c r="AA51" s="132" t="s">
        <v>274</v>
      </c>
      <c r="AB51" s="132" t="s">
        <v>274</v>
      </c>
      <c r="AC51" s="132" t="s">
        <v>274</v>
      </c>
      <c r="AD51" s="132" t="s">
        <v>274</v>
      </c>
      <c r="AE51" s="132" t="s">
        <v>274</v>
      </c>
      <c r="AF51" s="132" t="s">
        <v>274</v>
      </c>
      <c r="AG51" s="132" t="s">
        <v>274</v>
      </c>
      <c r="AH51" s="132" t="s">
        <v>274</v>
      </c>
      <c r="AI51" s="132" t="s">
        <v>274</v>
      </c>
      <c r="AJ51" s="132" t="s">
        <v>274</v>
      </c>
      <c r="AK51" s="132" t="s">
        <v>274</v>
      </c>
      <c r="AL51" s="132" t="s">
        <v>274</v>
      </c>
      <c r="AM51" s="132" t="s">
        <v>274</v>
      </c>
      <c r="AN51" s="128" t="s">
        <v>416</v>
      </c>
    </row>
    <row r="52" spans="13:40" ht="36.6" thickBot="1" x14ac:dyDescent="0.35">
      <c r="M52" s="103">
        <v>45</v>
      </c>
      <c r="N52" s="437"/>
      <c r="O52" s="104" t="s">
        <v>385</v>
      </c>
      <c r="P52" s="426"/>
      <c r="Q52" s="429"/>
      <c r="R52" s="128" t="s">
        <v>416</v>
      </c>
      <c r="S52" s="132" t="s">
        <v>274</v>
      </c>
      <c r="T52" s="132" t="s">
        <v>274</v>
      </c>
      <c r="U52" s="132" t="s">
        <v>274</v>
      </c>
      <c r="V52" s="132" t="s">
        <v>274</v>
      </c>
      <c r="W52" s="132" t="s">
        <v>274</v>
      </c>
      <c r="X52" s="132" t="s">
        <v>274</v>
      </c>
      <c r="Y52" s="132" t="s">
        <v>274</v>
      </c>
      <c r="Z52" s="132" t="s">
        <v>274</v>
      </c>
      <c r="AA52" s="132" t="s">
        <v>274</v>
      </c>
      <c r="AB52" s="132" t="s">
        <v>274</v>
      </c>
      <c r="AC52" s="132" t="s">
        <v>274</v>
      </c>
      <c r="AD52" s="132" t="s">
        <v>274</v>
      </c>
      <c r="AE52" s="132" t="s">
        <v>274</v>
      </c>
      <c r="AF52" s="132" t="s">
        <v>274</v>
      </c>
      <c r="AG52" s="132" t="s">
        <v>274</v>
      </c>
      <c r="AH52" s="132" t="s">
        <v>274</v>
      </c>
      <c r="AI52" s="132" t="s">
        <v>274</v>
      </c>
      <c r="AJ52" s="132" t="s">
        <v>274</v>
      </c>
      <c r="AK52" s="132" t="s">
        <v>274</v>
      </c>
      <c r="AL52" s="132" t="s">
        <v>274</v>
      </c>
      <c r="AM52" s="132" t="s">
        <v>274</v>
      </c>
      <c r="AN52" s="128" t="s">
        <v>416</v>
      </c>
    </row>
    <row r="53" spans="13:40" ht="36.6" thickBot="1" x14ac:dyDescent="0.4">
      <c r="M53" s="130">
        <v>46</v>
      </c>
      <c r="N53" s="106" t="s">
        <v>86</v>
      </c>
      <c r="O53" s="107" t="s">
        <v>86</v>
      </c>
      <c r="P53" s="131"/>
      <c r="Q53" s="108">
        <v>1</v>
      </c>
      <c r="R53" s="128" t="s">
        <v>416</v>
      </c>
      <c r="S53" s="132" t="s">
        <v>274</v>
      </c>
      <c r="T53" s="132" t="s">
        <v>274</v>
      </c>
      <c r="U53" s="132" t="s">
        <v>274</v>
      </c>
      <c r="V53" s="132" t="s">
        <v>274</v>
      </c>
      <c r="W53" s="132" t="s">
        <v>274</v>
      </c>
      <c r="X53" s="132" t="s">
        <v>274</v>
      </c>
      <c r="Y53" s="132" t="s">
        <v>274</v>
      </c>
      <c r="Z53" s="132" t="s">
        <v>274</v>
      </c>
      <c r="AA53" s="132" t="s">
        <v>274</v>
      </c>
      <c r="AB53" s="132" t="s">
        <v>274</v>
      </c>
      <c r="AC53" s="132" t="s">
        <v>274</v>
      </c>
      <c r="AD53" s="132" t="s">
        <v>274</v>
      </c>
      <c r="AE53" s="132" t="s">
        <v>274</v>
      </c>
      <c r="AF53" s="132" t="s">
        <v>274</v>
      </c>
      <c r="AG53" s="132" t="s">
        <v>274</v>
      </c>
      <c r="AH53" s="132" t="s">
        <v>274</v>
      </c>
      <c r="AI53" s="132" t="s">
        <v>274</v>
      </c>
      <c r="AJ53" s="132" t="s">
        <v>274</v>
      </c>
      <c r="AK53" s="132" t="s">
        <v>274</v>
      </c>
      <c r="AL53" s="132" t="s">
        <v>274</v>
      </c>
      <c r="AM53" s="132" t="s">
        <v>274</v>
      </c>
      <c r="AN53" s="132" t="s">
        <v>274</v>
      </c>
    </row>
    <row r="54" spans="13:40" ht="36.6" thickBot="1" x14ac:dyDescent="0.4">
      <c r="M54" s="130">
        <v>47</v>
      </c>
      <c r="N54" s="106" t="s">
        <v>87</v>
      </c>
      <c r="O54" s="107" t="s">
        <v>87</v>
      </c>
      <c r="P54" s="131"/>
      <c r="Q54" s="108">
        <v>1</v>
      </c>
      <c r="R54" s="128" t="s">
        <v>416</v>
      </c>
      <c r="S54" s="132" t="s">
        <v>274</v>
      </c>
      <c r="T54" s="132" t="s">
        <v>274</v>
      </c>
      <c r="U54" s="132" t="s">
        <v>274</v>
      </c>
      <c r="V54" s="132" t="s">
        <v>274</v>
      </c>
      <c r="W54" s="132" t="s">
        <v>274</v>
      </c>
      <c r="X54" s="132" t="s">
        <v>274</v>
      </c>
      <c r="Y54" s="132" t="s">
        <v>274</v>
      </c>
      <c r="Z54" s="132" t="s">
        <v>274</v>
      </c>
      <c r="AA54" s="132" t="s">
        <v>274</v>
      </c>
      <c r="AB54" s="132" t="s">
        <v>274</v>
      </c>
      <c r="AC54" s="132" t="s">
        <v>274</v>
      </c>
      <c r="AD54" s="132" t="s">
        <v>274</v>
      </c>
      <c r="AE54" s="132" t="s">
        <v>274</v>
      </c>
      <c r="AF54" s="132" t="s">
        <v>274</v>
      </c>
      <c r="AG54" s="132" t="s">
        <v>274</v>
      </c>
      <c r="AH54" s="132" t="s">
        <v>274</v>
      </c>
      <c r="AI54" s="132" t="s">
        <v>274</v>
      </c>
      <c r="AJ54" s="132" t="s">
        <v>274</v>
      </c>
      <c r="AK54" s="132" t="s">
        <v>274</v>
      </c>
      <c r="AL54" s="132" t="s">
        <v>274</v>
      </c>
      <c r="AM54" s="132" t="s">
        <v>274</v>
      </c>
      <c r="AN54" s="132" t="s">
        <v>274</v>
      </c>
    </row>
    <row r="55" spans="13:40" ht="36.6" thickBot="1" x14ac:dyDescent="0.35">
      <c r="M55" s="130">
        <v>48</v>
      </c>
      <c r="N55" s="106" t="s">
        <v>226</v>
      </c>
      <c r="O55" s="107" t="s">
        <v>226</v>
      </c>
      <c r="P55" s="131"/>
      <c r="Q55" s="109">
        <v>1</v>
      </c>
      <c r="R55" s="128" t="s">
        <v>416</v>
      </c>
      <c r="S55" s="132" t="s">
        <v>274</v>
      </c>
      <c r="T55" s="132" t="s">
        <v>274</v>
      </c>
      <c r="U55" s="132" t="s">
        <v>274</v>
      </c>
      <c r="V55" s="132" t="s">
        <v>274</v>
      </c>
      <c r="W55" s="132" t="s">
        <v>274</v>
      </c>
      <c r="X55" s="132" t="s">
        <v>274</v>
      </c>
      <c r="Y55" s="132" t="s">
        <v>274</v>
      </c>
      <c r="Z55" s="132" t="s">
        <v>274</v>
      </c>
      <c r="AA55" s="132" t="s">
        <v>274</v>
      </c>
      <c r="AB55" s="132" t="s">
        <v>274</v>
      </c>
      <c r="AC55" s="132" t="s">
        <v>274</v>
      </c>
      <c r="AD55" s="132" t="s">
        <v>274</v>
      </c>
      <c r="AE55" s="132" t="s">
        <v>274</v>
      </c>
      <c r="AF55" s="132" t="s">
        <v>274</v>
      </c>
      <c r="AG55" s="132" t="s">
        <v>274</v>
      </c>
      <c r="AH55" s="132" t="s">
        <v>274</v>
      </c>
      <c r="AI55" s="132" t="s">
        <v>274</v>
      </c>
      <c r="AJ55" s="132" t="s">
        <v>274</v>
      </c>
      <c r="AK55" s="132" t="s">
        <v>274</v>
      </c>
      <c r="AL55" s="132" t="s">
        <v>274</v>
      </c>
      <c r="AM55" s="132" t="s">
        <v>274</v>
      </c>
      <c r="AN55" s="132" t="s">
        <v>274</v>
      </c>
    </row>
    <row r="56" spans="13:40" ht="36.6" thickBot="1" x14ac:dyDescent="0.35">
      <c r="M56" s="103">
        <v>49</v>
      </c>
      <c r="N56" s="435" t="s">
        <v>386</v>
      </c>
      <c r="O56" s="133" t="s">
        <v>387</v>
      </c>
      <c r="P56" s="434">
        <v>45823</v>
      </c>
      <c r="Q56" s="427">
        <v>1</v>
      </c>
      <c r="R56" s="413" t="s">
        <v>416</v>
      </c>
      <c r="S56" s="410" t="s">
        <v>274</v>
      </c>
      <c r="T56" s="410" t="s">
        <v>274</v>
      </c>
      <c r="U56" s="410" t="s">
        <v>274</v>
      </c>
      <c r="V56" s="410" t="s">
        <v>274</v>
      </c>
      <c r="W56" s="410" t="s">
        <v>274</v>
      </c>
      <c r="X56" s="410" t="s">
        <v>274</v>
      </c>
      <c r="Y56" s="410" t="s">
        <v>274</v>
      </c>
      <c r="Z56" s="410" t="s">
        <v>274</v>
      </c>
      <c r="AA56" s="410" t="s">
        <v>274</v>
      </c>
      <c r="AB56" s="410" t="s">
        <v>274</v>
      </c>
      <c r="AC56" s="410" t="s">
        <v>274</v>
      </c>
      <c r="AD56" s="410" t="s">
        <v>274</v>
      </c>
      <c r="AE56" s="410" t="s">
        <v>274</v>
      </c>
      <c r="AF56" s="410" t="s">
        <v>274</v>
      </c>
      <c r="AG56" s="410" t="s">
        <v>274</v>
      </c>
      <c r="AH56" s="410" t="s">
        <v>274</v>
      </c>
      <c r="AI56" s="410" t="s">
        <v>274</v>
      </c>
      <c r="AJ56" s="410" t="s">
        <v>274</v>
      </c>
      <c r="AK56" s="410" t="s">
        <v>274</v>
      </c>
      <c r="AL56" s="410" t="s">
        <v>274</v>
      </c>
      <c r="AM56" s="410" t="s">
        <v>274</v>
      </c>
      <c r="AN56" s="410" t="s">
        <v>274</v>
      </c>
    </row>
    <row r="57" spans="13:40" ht="36.6" thickBot="1" x14ac:dyDescent="0.35">
      <c r="M57" s="103">
        <v>50</v>
      </c>
      <c r="N57" s="436"/>
      <c r="O57" s="133" t="s">
        <v>388</v>
      </c>
      <c r="P57" s="425"/>
      <c r="Q57" s="428"/>
      <c r="R57" s="414"/>
      <c r="S57" s="411"/>
      <c r="T57" s="411"/>
      <c r="U57" s="411"/>
      <c r="V57" s="411"/>
      <c r="W57" s="411"/>
      <c r="X57" s="411"/>
      <c r="Y57" s="411"/>
      <c r="Z57" s="411"/>
      <c r="AA57" s="411"/>
      <c r="AB57" s="411"/>
      <c r="AC57" s="411"/>
      <c r="AD57" s="411"/>
      <c r="AE57" s="411"/>
      <c r="AF57" s="411"/>
      <c r="AG57" s="411"/>
      <c r="AH57" s="411"/>
      <c r="AI57" s="411"/>
      <c r="AJ57" s="411"/>
      <c r="AK57" s="411"/>
      <c r="AL57" s="411"/>
      <c r="AM57" s="411"/>
      <c r="AN57" s="411"/>
    </row>
    <row r="58" spans="13:40" ht="36.6" thickBot="1" x14ac:dyDescent="0.35">
      <c r="M58" s="103">
        <v>51</v>
      </c>
      <c r="N58" s="436"/>
      <c r="O58" s="133" t="s">
        <v>389</v>
      </c>
      <c r="P58" s="425"/>
      <c r="Q58" s="428"/>
      <c r="R58" s="414"/>
      <c r="S58" s="411"/>
      <c r="T58" s="411"/>
      <c r="U58" s="411"/>
      <c r="V58" s="411"/>
      <c r="W58" s="411"/>
      <c r="X58" s="411"/>
      <c r="Y58" s="411"/>
      <c r="Z58" s="411"/>
      <c r="AA58" s="411"/>
      <c r="AB58" s="411"/>
      <c r="AC58" s="411"/>
      <c r="AD58" s="411"/>
      <c r="AE58" s="411"/>
      <c r="AF58" s="411"/>
      <c r="AG58" s="411"/>
      <c r="AH58" s="411"/>
      <c r="AI58" s="411"/>
      <c r="AJ58" s="411"/>
      <c r="AK58" s="411"/>
      <c r="AL58" s="411"/>
      <c r="AM58" s="411"/>
      <c r="AN58" s="411"/>
    </row>
    <row r="59" spans="13:40" ht="36.6" thickBot="1" x14ac:dyDescent="0.35">
      <c r="M59" s="103">
        <v>52</v>
      </c>
      <c r="N59" s="436"/>
      <c r="O59" s="133" t="s">
        <v>390</v>
      </c>
      <c r="P59" s="425"/>
      <c r="Q59" s="428"/>
      <c r="R59" s="414"/>
      <c r="S59" s="411"/>
      <c r="T59" s="411"/>
      <c r="U59" s="411"/>
      <c r="V59" s="411"/>
      <c r="W59" s="411"/>
      <c r="X59" s="411"/>
      <c r="Y59" s="411"/>
      <c r="Z59" s="411"/>
      <c r="AA59" s="411"/>
      <c r="AB59" s="411"/>
      <c r="AC59" s="411"/>
      <c r="AD59" s="411"/>
      <c r="AE59" s="411"/>
      <c r="AF59" s="411"/>
      <c r="AG59" s="411"/>
      <c r="AH59" s="411"/>
      <c r="AI59" s="411"/>
      <c r="AJ59" s="411"/>
      <c r="AK59" s="411"/>
      <c r="AL59" s="411"/>
      <c r="AM59" s="411"/>
      <c r="AN59" s="411"/>
    </row>
    <row r="60" spans="13:40" ht="36.6" thickBot="1" x14ac:dyDescent="0.35">
      <c r="M60" s="103">
        <v>53</v>
      </c>
      <c r="N60" s="436"/>
      <c r="O60" s="133" t="s">
        <v>391</v>
      </c>
      <c r="P60" s="425"/>
      <c r="Q60" s="428"/>
      <c r="R60" s="414"/>
      <c r="S60" s="411"/>
      <c r="T60" s="411"/>
      <c r="U60" s="411"/>
      <c r="V60" s="411"/>
      <c r="W60" s="411"/>
      <c r="X60" s="411"/>
      <c r="Y60" s="411"/>
      <c r="Z60" s="411"/>
      <c r="AA60" s="411"/>
      <c r="AB60" s="411"/>
      <c r="AC60" s="411"/>
      <c r="AD60" s="411"/>
      <c r="AE60" s="411"/>
      <c r="AF60" s="411"/>
      <c r="AG60" s="411"/>
      <c r="AH60" s="411"/>
      <c r="AI60" s="411"/>
      <c r="AJ60" s="411"/>
      <c r="AK60" s="411"/>
      <c r="AL60" s="411"/>
      <c r="AM60" s="411"/>
      <c r="AN60" s="411"/>
    </row>
    <row r="61" spans="13:40" ht="36.6" thickBot="1" x14ac:dyDescent="0.35">
      <c r="M61" s="103">
        <v>54</v>
      </c>
      <c r="N61" s="436"/>
      <c r="O61" s="133" t="s">
        <v>392</v>
      </c>
      <c r="P61" s="425"/>
      <c r="Q61" s="428"/>
      <c r="R61" s="414"/>
      <c r="S61" s="411"/>
      <c r="T61" s="411"/>
      <c r="U61" s="411"/>
      <c r="V61" s="411"/>
      <c r="W61" s="411"/>
      <c r="X61" s="411"/>
      <c r="Y61" s="411"/>
      <c r="Z61" s="411"/>
      <c r="AA61" s="411"/>
      <c r="AB61" s="411"/>
      <c r="AC61" s="411"/>
      <c r="AD61" s="411"/>
      <c r="AE61" s="411"/>
      <c r="AF61" s="411"/>
      <c r="AG61" s="411"/>
      <c r="AH61" s="411"/>
      <c r="AI61" s="411"/>
      <c r="AJ61" s="411"/>
      <c r="AK61" s="411"/>
      <c r="AL61" s="411"/>
      <c r="AM61" s="411"/>
      <c r="AN61" s="411"/>
    </row>
    <row r="62" spans="13:40" ht="36.6" thickBot="1" x14ac:dyDescent="0.35">
      <c r="M62" s="103">
        <v>55</v>
      </c>
      <c r="N62" s="436"/>
      <c r="O62" s="133" t="s">
        <v>393</v>
      </c>
      <c r="P62" s="425"/>
      <c r="Q62" s="428"/>
      <c r="R62" s="414"/>
      <c r="S62" s="411"/>
      <c r="T62" s="411"/>
      <c r="U62" s="411"/>
      <c r="V62" s="411"/>
      <c r="W62" s="411"/>
      <c r="X62" s="411"/>
      <c r="Y62" s="411"/>
      <c r="Z62" s="411"/>
      <c r="AA62" s="411"/>
      <c r="AB62" s="411"/>
      <c r="AC62" s="411"/>
      <c r="AD62" s="411"/>
      <c r="AE62" s="411"/>
      <c r="AF62" s="411"/>
      <c r="AG62" s="411"/>
      <c r="AH62" s="411"/>
      <c r="AI62" s="411"/>
      <c r="AJ62" s="411"/>
      <c r="AK62" s="411"/>
      <c r="AL62" s="411"/>
      <c r="AM62" s="411"/>
      <c r="AN62" s="411"/>
    </row>
    <row r="63" spans="13:40" ht="36.6" thickBot="1" x14ac:dyDescent="0.35">
      <c r="M63" s="103">
        <v>56</v>
      </c>
      <c r="N63" s="436"/>
      <c r="O63" s="133" t="s">
        <v>394</v>
      </c>
      <c r="P63" s="425"/>
      <c r="Q63" s="428"/>
      <c r="R63" s="415"/>
      <c r="S63" s="412"/>
      <c r="T63" s="412"/>
      <c r="U63" s="412"/>
      <c r="V63" s="412"/>
      <c r="W63" s="412"/>
      <c r="X63" s="412"/>
      <c r="Y63" s="412"/>
      <c r="Z63" s="412"/>
      <c r="AA63" s="412"/>
      <c r="AB63" s="412"/>
      <c r="AC63" s="412"/>
      <c r="AD63" s="412"/>
      <c r="AE63" s="412"/>
      <c r="AF63" s="412"/>
      <c r="AG63" s="412"/>
      <c r="AH63" s="412"/>
      <c r="AI63" s="412"/>
      <c r="AJ63" s="412"/>
      <c r="AK63" s="412"/>
      <c r="AL63" s="412"/>
      <c r="AM63" s="412"/>
      <c r="AN63" s="412"/>
    </row>
    <row r="64" spans="13:40" ht="52.95" customHeight="1" thickBot="1" x14ac:dyDescent="0.35">
      <c r="M64" s="103">
        <v>57</v>
      </c>
      <c r="N64" s="436"/>
      <c r="O64" s="104" t="s">
        <v>395</v>
      </c>
      <c r="P64" s="426"/>
      <c r="Q64" s="429"/>
      <c r="R64" s="128" t="s">
        <v>416</v>
      </c>
      <c r="S64" s="132" t="s">
        <v>274</v>
      </c>
      <c r="T64" s="132" t="s">
        <v>274</v>
      </c>
      <c r="U64" s="132" t="s">
        <v>274</v>
      </c>
      <c r="V64" s="132" t="s">
        <v>274</v>
      </c>
      <c r="W64" s="132" t="s">
        <v>274</v>
      </c>
      <c r="X64" s="132" t="s">
        <v>274</v>
      </c>
      <c r="Y64" s="132" t="s">
        <v>274</v>
      </c>
      <c r="Z64" s="132" t="s">
        <v>274</v>
      </c>
      <c r="AA64" s="132" t="s">
        <v>274</v>
      </c>
      <c r="AB64" s="132" t="s">
        <v>274</v>
      </c>
      <c r="AC64" s="132" t="s">
        <v>274</v>
      </c>
      <c r="AD64" s="132" t="s">
        <v>274</v>
      </c>
      <c r="AE64" s="132" t="s">
        <v>274</v>
      </c>
      <c r="AF64" s="132" t="s">
        <v>274</v>
      </c>
      <c r="AG64" s="132" t="s">
        <v>274</v>
      </c>
      <c r="AH64" s="132" t="s">
        <v>274</v>
      </c>
      <c r="AI64" s="132" t="s">
        <v>274</v>
      </c>
      <c r="AJ64" s="132" t="s">
        <v>274</v>
      </c>
      <c r="AK64" s="132" t="s">
        <v>274</v>
      </c>
      <c r="AL64" s="132" t="s">
        <v>274</v>
      </c>
      <c r="AM64" s="132" t="s">
        <v>274</v>
      </c>
      <c r="AN64" s="132" t="s">
        <v>274</v>
      </c>
    </row>
    <row r="65" spans="10:40" ht="32.4" customHeight="1" thickBot="1" x14ac:dyDescent="0.35">
      <c r="M65" s="103" t="s">
        <v>468</v>
      </c>
      <c r="N65" s="437"/>
      <c r="O65" s="104" t="s">
        <v>469</v>
      </c>
      <c r="P65" s="138"/>
      <c r="Q65" s="139">
        <v>1</v>
      </c>
      <c r="R65" s="128" t="s">
        <v>416</v>
      </c>
      <c r="S65" s="132" t="s">
        <v>274</v>
      </c>
      <c r="T65" s="132" t="s">
        <v>274</v>
      </c>
      <c r="U65" s="132" t="s">
        <v>274</v>
      </c>
      <c r="V65" s="132" t="s">
        <v>274</v>
      </c>
      <c r="W65" s="132" t="s">
        <v>274</v>
      </c>
      <c r="X65" s="132" t="s">
        <v>274</v>
      </c>
      <c r="Y65" s="132" t="s">
        <v>274</v>
      </c>
      <c r="Z65" s="132" t="s">
        <v>274</v>
      </c>
      <c r="AA65" s="132" t="s">
        <v>274</v>
      </c>
      <c r="AB65" s="132" t="s">
        <v>274</v>
      </c>
      <c r="AC65" s="132" t="s">
        <v>274</v>
      </c>
      <c r="AD65" s="132" t="s">
        <v>274</v>
      </c>
      <c r="AE65" s="132" t="s">
        <v>274</v>
      </c>
      <c r="AF65" s="132" t="s">
        <v>274</v>
      </c>
      <c r="AG65" s="132" t="s">
        <v>274</v>
      </c>
      <c r="AH65" s="132" t="s">
        <v>274</v>
      </c>
      <c r="AI65" s="132" t="s">
        <v>274</v>
      </c>
      <c r="AJ65" s="132" t="s">
        <v>274</v>
      </c>
      <c r="AK65" s="132" t="s">
        <v>274</v>
      </c>
      <c r="AL65" s="132" t="s">
        <v>274</v>
      </c>
      <c r="AM65" s="132" t="s">
        <v>274</v>
      </c>
      <c r="AN65" s="132" t="s">
        <v>274</v>
      </c>
    </row>
    <row r="66" spans="10:40" ht="36.6" thickBot="1" x14ac:dyDescent="0.35">
      <c r="M66" s="103">
        <v>58</v>
      </c>
      <c r="N66" s="430" t="s">
        <v>755</v>
      </c>
      <c r="O66" s="104" t="s">
        <v>443</v>
      </c>
      <c r="P66" s="432"/>
      <c r="Q66" s="427">
        <v>0.9</v>
      </c>
      <c r="R66" s="128" t="s">
        <v>416</v>
      </c>
      <c r="S66" s="132" t="s">
        <v>274</v>
      </c>
      <c r="T66" s="132" t="s">
        <v>274</v>
      </c>
      <c r="U66" s="132" t="s">
        <v>274</v>
      </c>
      <c r="V66" s="132" t="s">
        <v>274</v>
      </c>
      <c r="W66" s="132" t="s">
        <v>274</v>
      </c>
      <c r="X66" s="132" t="s">
        <v>274</v>
      </c>
      <c r="Y66" s="132" t="s">
        <v>274</v>
      </c>
      <c r="Z66" s="132" t="s">
        <v>274</v>
      </c>
      <c r="AA66" s="132" t="s">
        <v>274</v>
      </c>
      <c r="AB66" s="132" t="s">
        <v>274</v>
      </c>
      <c r="AC66" s="132" t="s">
        <v>274</v>
      </c>
      <c r="AD66" s="132" t="s">
        <v>274</v>
      </c>
      <c r="AE66" s="132" t="s">
        <v>274</v>
      </c>
      <c r="AF66" s="132" t="s">
        <v>274</v>
      </c>
      <c r="AG66" s="132" t="s">
        <v>274</v>
      </c>
      <c r="AH66" s="132" t="s">
        <v>274</v>
      </c>
      <c r="AI66" s="132" t="s">
        <v>274</v>
      </c>
      <c r="AJ66" s="132" t="s">
        <v>274</v>
      </c>
      <c r="AK66" s="132" t="s">
        <v>274</v>
      </c>
      <c r="AL66" s="132" t="s">
        <v>274</v>
      </c>
      <c r="AM66" s="132" t="s">
        <v>274</v>
      </c>
      <c r="AN66" s="132" t="s">
        <v>274</v>
      </c>
    </row>
    <row r="67" spans="10:40" ht="36.6" thickBot="1" x14ac:dyDescent="0.35">
      <c r="M67" s="103">
        <v>59</v>
      </c>
      <c r="N67" s="431"/>
      <c r="O67" s="104" t="s">
        <v>444</v>
      </c>
      <c r="P67" s="433"/>
      <c r="Q67" s="429"/>
      <c r="R67" s="128" t="s">
        <v>416</v>
      </c>
      <c r="S67" s="132" t="s">
        <v>274</v>
      </c>
      <c r="T67" s="132" t="s">
        <v>274</v>
      </c>
      <c r="U67" s="132" t="s">
        <v>274</v>
      </c>
      <c r="V67" s="132" t="s">
        <v>274</v>
      </c>
      <c r="W67" s="132" t="s">
        <v>274</v>
      </c>
      <c r="X67" s="132" t="s">
        <v>274</v>
      </c>
      <c r="Y67" s="132" t="s">
        <v>274</v>
      </c>
      <c r="Z67" s="132" t="s">
        <v>274</v>
      </c>
      <c r="AA67" s="132" t="s">
        <v>274</v>
      </c>
      <c r="AB67" s="132" t="s">
        <v>274</v>
      </c>
      <c r="AC67" s="132" t="s">
        <v>274</v>
      </c>
      <c r="AD67" s="132" t="s">
        <v>274</v>
      </c>
      <c r="AE67" s="132" t="s">
        <v>274</v>
      </c>
      <c r="AF67" s="132" t="s">
        <v>274</v>
      </c>
      <c r="AG67" s="132" t="s">
        <v>274</v>
      </c>
      <c r="AH67" s="132" t="s">
        <v>274</v>
      </c>
      <c r="AI67" s="132" t="s">
        <v>274</v>
      </c>
      <c r="AJ67" s="132" t="s">
        <v>274</v>
      </c>
      <c r="AK67" s="132" t="s">
        <v>274</v>
      </c>
      <c r="AL67" s="132" t="s">
        <v>274</v>
      </c>
      <c r="AM67" s="132" t="s">
        <v>274</v>
      </c>
      <c r="AN67" s="132" t="s">
        <v>274</v>
      </c>
    </row>
    <row r="68" spans="10:40" ht="36.6" thickBot="1" x14ac:dyDescent="0.35">
      <c r="M68" s="103">
        <v>58</v>
      </c>
      <c r="N68" s="430" t="s">
        <v>100</v>
      </c>
      <c r="O68" s="104" t="s">
        <v>443</v>
      </c>
      <c r="P68" s="432"/>
      <c r="Q68" s="427">
        <v>0.9</v>
      </c>
      <c r="R68" s="128" t="s">
        <v>2</v>
      </c>
      <c r="S68" s="128" t="s">
        <v>416</v>
      </c>
      <c r="T68" s="132" t="s">
        <v>274</v>
      </c>
      <c r="U68" s="132" t="s">
        <v>274</v>
      </c>
      <c r="V68" s="132" t="s">
        <v>274</v>
      </c>
      <c r="W68" s="132" t="s">
        <v>274</v>
      </c>
      <c r="X68" s="132" t="s">
        <v>274</v>
      </c>
      <c r="Y68" s="132" t="s">
        <v>274</v>
      </c>
      <c r="Z68" s="132" t="s">
        <v>274</v>
      </c>
      <c r="AA68" s="132" t="s">
        <v>274</v>
      </c>
      <c r="AB68" s="132" t="s">
        <v>274</v>
      </c>
      <c r="AC68" s="132" t="s">
        <v>274</v>
      </c>
      <c r="AD68" s="132" t="s">
        <v>274</v>
      </c>
      <c r="AE68" s="132" t="s">
        <v>274</v>
      </c>
      <c r="AF68" s="132" t="s">
        <v>274</v>
      </c>
      <c r="AG68" s="128" t="s">
        <v>2</v>
      </c>
      <c r="AH68" s="128" t="s">
        <v>2</v>
      </c>
      <c r="AI68" s="128" t="s">
        <v>1</v>
      </c>
      <c r="AJ68" s="128" t="s">
        <v>416</v>
      </c>
      <c r="AK68" s="128" t="s">
        <v>416</v>
      </c>
      <c r="AL68" s="132" t="s">
        <v>274</v>
      </c>
      <c r="AM68" s="128" t="s">
        <v>2</v>
      </c>
      <c r="AN68" s="128" t="s">
        <v>2</v>
      </c>
    </row>
    <row r="69" spans="10:40" ht="36.6" thickBot="1" x14ac:dyDescent="0.35">
      <c r="M69" s="103">
        <v>59</v>
      </c>
      <c r="N69" s="431"/>
      <c r="O69" s="104" t="s">
        <v>444</v>
      </c>
      <c r="P69" s="433"/>
      <c r="Q69" s="429"/>
      <c r="R69" s="128" t="s">
        <v>2</v>
      </c>
      <c r="S69" s="128" t="s">
        <v>416</v>
      </c>
      <c r="T69" s="132" t="s">
        <v>274</v>
      </c>
      <c r="U69" s="132" t="s">
        <v>274</v>
      </c>
      <c r="V69" s="132" t="s">
        <v>274</v>
      </c>
      <c r="W69" s="132" t="s">
        <v>274</v>
      </c>
      <c r="X69" s="132" t="s">
        <v>274</v>
      </c>
      <c r="Y69" s="132" t="s">
        <v>274</v>
      </c>
      <c r="Z69" s="132" t="s">
        <v>274</v>
      </c>
      <c r="AA69" s="132" t="s">
        <v>274</v>
      </c>
      <c r="AB69" s="132" t="s">
        <v>274</v>
      </c>
      <c r="AC69" s="132" t="s">
        <v>274</v>
      </c>
      <c r="AD69" s="132" t="s">
        <v>274</v>
      </c>
      <c r="AE69" s="132" t="s">
        <v>274</v>
      </c>
      <c r="AF69" s="132" t="s">
        <v>274</v>
      </c>
      <c r="AG69" s="128" t="s">
        <v>2</v>
      </c>
      <c r="AH69" s="128" t="s">
        <v>2</v>
      </c>
      <c r="AI69" s="128" t="s">
        <v>1</v>
      </c>
      <c r="AJ69" s="128" t="s">
        <v>416</v>
      </c>
      <c r="AK69" s="128" t="s">
        <v>416</v>
      </c>
      <c r="AL69" s="132" t="s">
        <v>274</v>
      </c>
      <c r="AM69" s="128" t="s">
        <v>2</v>
      </c>
      <c r="AN69" s="128" t="s">
        <v>2</v>
      </c>
    </row>
    <row r="70" spans="10:40" ht="36.6" thickBot="1" x14ac:dyDescent="0.35">
      <c r="M70" s="103">
        <v>60</v>
      </c>
      <c r="N70" s="105" t="s">
        <v>396</v>
      </c>
      <c r="O70" s="104" t="s">
        <v>396</v>
      </c>
      <c r="P70" s="140">
        <v>45823</v>
      </c>
      <c r="Q70" s="110">
        <v>1</v>
      </c>
      <c r="R70" s="128" t="s">
        <v>416</v>
      </c>
      <c r="S70" s="132" t="s">
        <v>274</v>
      </c>
      <c r="T70" s="132" t="s">
        <v>274</v>
      </c>
      <c r="U70" s="132" t="s">
        <v>274</v>
      </c>
      <c r="V70" s="132" t="s">
        <v>274</v>
      </c>
      <c r="W70" s="132" t="s">
        <v>274</v>
      </c>
      <c r="X70" s="132" t="s">
        <v>274</v>
      </c>
      <c r="Y70" s="132" t="s">
        <v>274</v>
      </c>
      <c r="Z70" s="132" t="s">
        <v>274</v>
      </c>
      <c r="AA70" s="132" t="s">
        <v>274</v>
      </c>
      <c r="AB70" s="132" t="s">
        <v>274</v>
      </c>
      <c r="AC70" s="132" t="s">
        <v>274</v>
      </c>
      <c r="AD70" s="132" t="s">
        <v>274</v>
      </c>
      <c r="AE70" s="132" t="s">
        <v>274</v>
      </c>
      <c r="AF70" s="132" t="s">
        <v>274</v>
      </c>
      <c r="AG70" s="132" t="s">
        <v>274</v>
      </c>
      <c r="AH70" s="132" t="s">
        <v>274</v>
      </c>
      <c r="AI70" s="132" t="s">
        <v>274</v>
      </c>
      <c r="AJ70" s="132" t="s">
        <v>274</v>
      </c>
      <c r="AK70" s="132" t="s">
        <v>274</v>
      </c>
      <c r="AL70" s="132" t="s">
        <v>274</v>
      </c>
      <c r="AM70" s="132" t="s">
        <v>274</v>
      </c>
      <c r="AN70" s="132" t="s">
        <v>274</v>
      </c>
    </row>
    <row r="71" spans="10:40" ht="36.6" thickBot="1" x14ac:dyDescent="0.35">
      <c r="M71" s="103">
        <v>61</v>
      </c>
      <c r="N71" s="430" t="s">
        <v>756</v>
      </c>
      <c r="O71" s="104" t="s">
        <v>445</v>
      </c>
      <c r="P71" s="432"/>
      <c r="Q71" s="427">
        <v>0.9</v>
      </c>
      <c r="R71" s="132" t="s">
        <v>274</v>
      </c>
      <c r="S71" s="128" t="s">
        <v>416</v>
      </c>
      <c r="T71" s="132" t="s">
        <v>274</v>
      </c>
      <c r="U71" s="132" t="s">
        <v>274</v>
      </c>
      <c r="V71" s="132" t="s">
        <v>274</v>
      </c>
      <c r="W71" s="132" t="s">
        <v>274</v>
      </c>
      <c r="X71" s="132" t="s">
        <v>274</v>
      </c>
      <c r="Y71" s="132" t="s">
        <v>274</v>
      </c>
      <c r="Z71" s="132" t="s">
        <v>274</v>
      </c>
      <c r="AA71" s="132" t="s">
        <v>274</v>
      </c>
      <c r="AB71" s="132" t="s">
        <v>274</v>
      </c>
      <c r="AC71" s="132" t="s">
        <v>274</v>
      </c>
      <c r="AD71" s="132" t="s">
        <v>274</v>
      </c>
      <c r="AE71" s="132" t="s">
        <v>274</v>
      </c>
      <c r="AF71" s="132" t="s">
        <v>274</v>
      </c>
      <c r="AG71" s="132" t="s">
        <v>274</v>
      </c>
      <c r="AH71" s="132" t="s">
        <v>274</v>
      </c>
      <c r="AI71" s="132" t="s">
        <v>274</v>
      </c>
      <c r="AJ71" s="132" t="s">
        <v>274</v>
      </c>
      <c r="AK71" s="132" t="s">
        <v>274</v>
      </c>
      <c r="AL71" s="132" t="s">
        <v>274</v>
      </c>
      <c r="AM71" s="132" t="s">
        <v>274</v>
      </c>
      <c r="AN71" s="132" t="s">
        <v>274</v>
      </c>
    </row>
    <row r="72" spans="10:40" ht="36.6" thickBot="1" x14ac:dyDescent="0.35">
      <c r="M72" s="103">
        <v>62</v>
      </c>
      <c r="N72" s="438"/>
      <c r="O72" s="104" t="s">
        <v>446</v>
      </c>
      <c r="P72" s="439"/>
      <c r="Q72" s="428"/>
      <c r="R72" s="132" t="s">
        <v>274</v>
      </c>
      <c r="S72" s="128" t="s">
        <v>416</v>
      </c>
      <c r="T72" s="132" t="s">
        <v>274</v>
      </c>
      <c r="U72" s="132" t="s">
        <v>274</v>
      </c>
      <c r="V72" s="132" t="s">
        <v>274</v>
      </c>
      <c r="W72" s="132" t="s">
        <v>274</v>
      </c>
      <c r="X72" s="132" t="s">
        <v>274</v>
      </c>
      <c r="Y72" s="132" t="s">
        <v>274</v>
      </c>
      <c r="Z72" s="132" t="s">
        <v>274</v>
      </c>
      <c r="AA72" s="132" t="s">
        <v>274</v>
      </c>
      <c r="AB72" s="132" t="s">
        <v>274</v>
      </c>
      <c r="AC72" s="132" t="s">
        <v>274</v>
      </c>
      <c r="AD72" s="132" t="s">
        <v>274</v>
      </c>
      <c r="AE72" s="132" t="s">
        <v>274</v>
      </c>
      <c r="AF72" s="132" t="s">
        <v>274</v>
      </c>
      <c r="AG72" s="132" t="s">
        <v>274</v>
      </c>
      <c r="AH72" s="132" t="s">
        <v>274</v>
      </c>
      <c r="AI72" s="132" t="s">
        <v>274</v>
      </c>
      <c r="AJ72" s="132" t="s">
        <v>274</v>
      </c>
      <c r="AK72" s="132" t="s">
        <v>274</v>
      </c>
      <c r="AL72" s="132" t="s">
        <v>274</v>
      </c>
      <c r="AM72" s="132" t="s">
        <v>274</v>
      </c>
      <c r="AN72" s="132" t="s">
        <v>274</v>
      </c>
    </row>
    <row r="73" spans="10:40" ht="36.6" thickBot="1" x14ac:dyDescent="0.35">
      <c r="M73" s="103">
        <v>63</v>
      </c>
      <c r="N73" s="431"/>
      <c r="O73" s="104" t="s">
        <v>447</v>
      </c>
      <c r="P73" s="433"/>
      <c r="Q73" s="429"/>
      <c r="R73" s="132" t="s">
        <v>274</v>
      </c>
      <c r="S73" s="128" t="s">
        <v>416</v>
      </c>
      <c r="T73" s="132" t="s">
        <v>274</v>
      </c>
      <c r="U73" s="132" t="s">
        <v>274</v>
      </c>
      <c r="V73" s="132" t="s">
        <v>274</v>
      </c>
      <c r="W73" s="132" t="s">
        <v>274</v>
      </c>
      <c r="X73" s="132" t="s">
        <v>274</v>
      </c>
      <c r="Y73" s="132" t="s">
        <v>274</v>
      </c>
      <c r="Z73" s="132" t="s">
        <v>274</v>
      </c>
      <c r="AA73" s="132" t="s">
        <v>274</v>
      </c>
      <c r="AB73" s="132" t="s">
        <v>274</v>
      </c>
      <c r="AC73" s="132" t="s">
        <v>274</v>
      </c>
      <c r="AD73" s="132" t="s">
        <v>274</v>
      </c>
      <c r="AE73" s="132" t="s">
        <v>274</v>
      </c>
      <c r="AF73" s="132" t="s">
        <v>274</v>
      </c>
      <c r="AG73" s="132" t="s">
        <v>274</v>
      </c>
      <c r="AH73" s="132" t="s">
        <v>274</v>
      </c>
      <c r="AI73" s="132" t="s">
        <v>274</v>
      </c>
      <c r="AJ73" s="132" t="s">
        <v>274</v>
      </c>
      <c r="AK73" s="132" t="s">
        <v>274</v>
      </c>
      <c r="AL73" s="132" t="s">
        <v>274</v>
      </c>
      <c r="AM73" s="132" t="s">
        <v>274</v>
      </c>
      <c r="AN73" s="132" t="s">
        <v>274</v>
      </c>
    </row>
    <row r="74" spans="10:40" ht="36.6" thickBot="1" x14ac:dyDescent="0.35">
      <c r="M74" s="103">
        <v>61</v>
      </c>
      <c r="N74" s="430" t="s">
        <v>152</v>
      </c>
      <c r="O74" s="104" t="s">
        <v>445</v>
      </c>
      <c r="P74" s="432"/>
      <c r="Q74" s="427">
        <v>0.9</v>
      </c>
      <c r="R74" s="128" t="s">
        <v>2</v>
      </c>
      <c r="S74" s="128" t="s">
        <v>416</v>
      </c>
      <c r="T74" s="132" t="s">
        <v>274</v>
      </c>
      <c r="U74" s="132" t="s">
        <v>274</v>
      </c>
      <c r="V74" s="132" t="s">
        <v>274</v>
      </c>
      <c r="W74" s="132" t="s">
        <v>274</v>
      </c>
      <c r="X74" s="132" t="s">
        <v>274</v>
      </c>
      <c r="Y74" s="132" t="s">
        <v>274</v>
      </c>
      <c r="Z74" s="132" t="s">
        <v>274</v>
      </c>
      <c r="AA74" s="132" t="s">
        <v>274</v>
      </c>
      <c r="AB74" s="132" t="s">
        <v>274</v>
      </c>
      <c r="AC74" s="132" t="s">
        <v>274</v>
      </c>
      <c r="AD74" s="132" t="s">
        <v>274</v>
      </c>
      <c r="AE74" s="132" t="s">
        <v>274</v>
      </c>
      <c r="AF74" s="132" t="s">
        <v>274</v>
      </c>
      <c r="AG74" s="128" t="s">
        <v>2</v>
      </c>
      <c r="AH74" s="128" t="s">
        <v>2</v>
      </c>
      <c r="AI74" s="128" t="s">
        <v>1</v>
      </c>
      <c r="AJ74" s="128" t="s">
        <v>416</v>
      </c>
      <c r="AK74" s="128" t="s">
        <v>416</v>
      </c>
      <c r="AL74" s="132" t="s">
        <v>274</v>
      </c>
      <c r="AM74" s="128" t="s">
        <v>2</v>
      </c>
      <c r="AN74" s="128" t="s">
        <v>2</v>
      </c>
    </row>
    <row r="75" spans="10:40" ht="36.6" thickBot="1" x14ac:dyDescent="0.35">
      <c r="M75" s="103">
        <v>62</v>
      </c>
      <c r="N75" s="438"/>
      <c r="O75" s="104" t="s">
        <v>446</v>
      </c>
      <c r="P75" s="439"/>
      <c r="Q75" s="428"/>
      <c r="R75" s="128" t="s">
        <v>2</v>
      </c>
      <c r="S75" s="128" t="s">
        <v>416</v>
      </c>
      <c r="T75" s="132" t="s">
        <v>274</v>
      </c>
      <c r="U75" s="132" t="s">
        <v>274</v>
      </c>
      <c r="V75" s="132" t="s">
        <v>274</v>
      </c>
      <c r="W75" s="132" t="s">
        <v>274</v>
      </c>
      <c r="X75" s="132" t="s">
        <v>274</v>
      </c>
      <c r="Y75" s="132" t="s">
        <v>274</v>
      </c>
      <c r="Z75" s="132" t="s">
        <v>274</v>
      </c>
      <c r="AA75" s="132" t="s">
        <v>274</v>
      </c>
      <c r="AB75" s="132" t="s">
        <v>274</v>
      </c>
      <c r="AC75" s="132" t="s">
        <v>274</v>
      </c>
      <c r="AD75" s="132" t="s">
        <v>274</v>
      </c>
      <c r="AE75" s="132" t="s">
        <v>274</v>
      </c>
      <c r="AF75" s="132" t="s">
        <v>274</v>
      </c>
      <c r="AG75" s="128" t="s">
        <v>2</v>
      </c>
      <c r="AH75" s="128" t="s">
        <v>2</v>
      </c>
      <c r="AI75" s="128" t="s">
        <v>1</v>
      </c>
      <c r="AJ75" s="128" t="s">
        <v>416</v>
      </c>
      <c r="AK75" s="128" t="s">
        <v>416</v>
      </c>
      <c r="AL75" s="132" t="s">
        <v>274</v>
      </c>
      <c r="AM75" s="128" t="s">
        <v>2</v>
      </c>
      <c r="AN75" s="128" t="s">
        <v>2</v>
      </c>
    </row>
    <row r="76" spans="10:40" ht="36.6" thickBot="1" x14ac:dyDescent="0.35">
      <c r="M76" s="103">
        <v>63</v>
      </c>
      <c r="N76" s="431"/>
      <c r="O76" s="104" t="s">
        <v>447</v>
      </c>
      <c r="P76" s="433"/>
      <c r="Q76" s="429"/>
      <c r="R76" s="128" t="s">
        <v>2</v>
      </c>
      <c r="S76" s="128" t="s">
        <v>416</v>
      </c>
      <c r="T76" s="132" t="s">
        <v>274</v>
      </c>
      <c r="U76" s="132" t="s">
        <v>274</v>
      </c>
      <c r="V76" s="132" t="s">
        <v>274</v>
      </c>
      <c r="W76" s="132" t="s">
        <v>274</v>
      </c>
      <c r="X76" s="132" t="s">
        <v>274</v>
      </c>
      <c r="Y76" s="132" t="s">
        <v>274</v>
      </c>
      <c r="Z76" s="132" t="s">
        <v>274</v>
      </c>
      <c r="AA76" s="132" t="s">
        <v>274</v>
      </c>
      <c r="AB76" s="132" t="s">
        <v>274</v>
      </c>
      <c r="AC76" s="132" t="s">
        <v>274</v>
      </c>
      <c r="AD76" s="132" t="s">
        <v>274</v>
      </c>
      <c r="AE76" s="132" t="s">
        <v>274</v>
      </c>
      <c r="AF76" s="132" t="s">
        <v>274</v>
      </c>
      <c r="AG76" s="128" t="s">
        <v>2</v>
      </c>
      <c r="AH76" s="128" t="s">
        <v>2</v>
      </c>
      <c r="AI76" s="128" t="s">
        <v>1</v>
      </c>
      <c r="AJ76" s="128" t="s">
        <v>416</v>
      </c>
      <c r="AK76" s="128" t="s">
        <v>416</v>
      </c>
      <c r="AL76" s="132" t="s">
        <v>274</v>
      </c>
      <c r="AM76" s="128" t="s">
        <v>2</v>
      </c>
      <c r="AN76" s="128" t="s">
        <v>2</v>
      </c>
    </row>
    <row r="77" spans="10:40" ht="72.599999999999994" thickBot="1" x14ac:dyDescent="0.4">
      <c r="J77" s="470" t="s">
        <v>1117</v>
      </c>
      <c r="M77" s="103">
        <v>64</v>
      </c>
      <c r="N77" s="430" t="s">
        <v>448</v>
      </c>
      <c r="O77" s="104" t="s">
        <v>449</v>
      </c>
      <c r="P77" s="432"/>
      <c r="Q77" s="427">
        <v>0.85</v>
      </c>
      <c r="R77" s="128" t="s">
        <v>416</v>
      </c>
      <c r="S77" s="128" t="s">
        <v>2</v>
      </c>
      <c r="T77" s="128" t="s">
        <v>1</v>
      </c>
      <c r="U77" s="128" t="s">
        <v>1</v>
      </c>
      <c r="V77" s="128" t="s">
        <v>1</v>
      </c>
      <c r="W77" s="128" t="s">
        <v>1</v>
      </c>
      <c r="X77" s="128" t="s">
        <v>1</v>
      </c>
      <c r="Y77" s="128" t="s">
        <v>1</v>
      </c>
      <c r="Z77" s="128" t="s">
        <v>1</v>
      </c>
      <c r="AA77" s="128" t="s">
        <v>1</v>
      </c>
      <c r="AB77" s="128" t="s">
        <v>1</v>
      </c>
      <c r="AC77" s="128" t="s">
        <v>1</v>
      </c>
      <c r="AD77" s="128" t="s">
        <v>1</v>
      </c>
      <c r="AE77" s="129" t="s">
        <v>398</v>
      </c>
      <c r="AF77" s="128" t="s">
        <v>1</v>
      </c>
      <c r="AG77" s="128" t="s">
        <v>2</v>
      </c>
      <c r="AH77" s="128" t="s">
        <v>2</v>
      </c>
      <c r="AI77" s="128" t="s">
        <v>1</v>
      </c>
      <c r="AJ77" s="128" t="s">
        <v>2</v>
      </c>
      <c r="AK77" s="128" t="s">
        <v>2</v>
      </c>
      <c r="AL77" s="128" t="s">
        <v>2</v>
      </c>
      <c r="AM77" s="128" t="s">
        <v>2</v>
      </c>
      <c r="AN77" s="128" t="s">
        <v>2</v>
      </c>
    </row>
    <row r="78" spans="10:40" ht="72.599999999999994" thickBot="1" x14ac:dyDescent="0.35">
      <c r="M78" s="103">
        <v>65</v>
      </c>
      <c r="N78" s="438"/>
      <c r="O78" s="104" t="s">
        <v>450</v>
      </c>
      <c r="P78" s="439"/>
      <c r="Q78" s="428"/>
      <c r="R78" s="128" t="s">
        <v>416</v>
      </c>
      <c r="S78" s="128" t="s">
        <v>2</v>
      </c>
      <c r="T78" s="128" t="s">
        <v>1</v>
      </c>
      <c r="U78" s="128" t="s">
        <v>1</v>
      </c>
      <c r="V78" s="128" t="s">
        <v>1</v>
      </c>
      <c r="W78" s="128" t="s">
        <v>1</v>
      </c>
      <c r="X78" s="128" t="s">
        <v>1</v>
      </c>
      <c r="Y78" s="128" t="s">
        <v>1</v>
      </c>
      <c r="Z78" s="128" t="s">
        <v>1</v>
      </c>
      <c r="AA78" s="128" t="s">
        <v>1</v>
      </c>
      <c r="AB78" s="128" t="s">
        <v>1</v>
      </c>
      <c r="AC78" s="128" t="s">
        <v>1</v>
      </c>
      <c r="AD78" s="128" t="s">
        <v>1</v>
      </c>
      <c r="AE78" s="129" t="s">
        <v>398</v>
      </c>
      <c r="AF78" s="128" t="s">
        <v>1</v>
      </c>
      <c r="AG78" s="128" t="s">
        <v>2</v>
      </c>
      <c r="AH78" s="128" t="s">
        <v>2</v>
      </c>
      <c r="AI78" s="128" t="s">
        <v>1</v>
      </c>
      <c r="AJ78" s="128" t="s">
        <v>2</v>
      </c>
      <c r="AK78" s="128" t="s">
        <v>2</v>
      </c>
      <c r="AL78" s="128" t="s">
        <v>2</v>
      </c>
      <c r="AM78" s="128" t="s">
        <v>2</v>
      </c>
      <c r="AN78" s="128" t="s">
        <v>2</v>
      </c>
    </row>
    <row r="79" spans="10:40" ht="72.599999999999994" thickBot="1" x14ac:dyDescent="0.35">
      <c r="J79" t="s">
        <v>788</v>
      </c>
      <c r="M79" s="103">
        <v>66</v>
      </c>
      <c r="N79" s="438"/>
      <c r="O79" s="104" t="s">
        <v>451</v>
      </c>
      <c r="P79" s="439"/>
      <c r="Q79" s="428"/>
      <c r="R79" s="128" t="s">
        <v>416</v>
      </c>
      <c r="S79" s="128" t="s">
        <v>2</v>
      </c>
      <c r="T79" s="128" t="s">
        <v>1</v>
      </c>
      <c r="U79" s="128" t="s">
        <v>1</v>
      </c>
      <c r="V79" s="128" t="s">
        <v>1</v>
      </c>
      <c r="W79" s="128" t="s">
        <v>1</v>
      </c>
      <c r="X79" s="128" t="s">
        <v>1</v>
      </c>
      <c r="Y79" s="128" t="s">
        <v>1</v>
      </c>
      <c r="Z79" s="128" t="s">
        <v>1</v>
      </c>
      <c r="AA79" s="128" t="s">
        <v>1</v>
      </c>
      <c r="AB79" s="128" t="s">
        <v>1</v>
      </c>
      <c r="AC79" s="128" t="s">
        <v>1</v>
      </c>
      <c r="AD79" s="128" t="s">
        <v>1</v>
      </c>
      <c r="AE79" s="129" t="s">
        <v>398</v>
      </c>
      <c r="AF79" s="128" t="s">
        <v>1</v>
      </c>
      <c r="AG79" s="128" t="s">
        <v>2</v>
      </c>
      <c r="AH79" s="128" t="s">
        <v>2</v>
      </c>
      <c r="AI79" s="128" t="s">
        <v>1</v>
      </c>
      <c r="AJ79" s="128" t="s">
        <v>2</v>
      </c>
      <c r="AK79" s="128" t="s">
        <v>2</v>
      </c>
      <c r="AL79" s="128" t="s">
        <v>2</v>
      </c>
      <c r="AM79" s="128" t="s">
        <v>2</v>
      </c>
      <c r="AN79" s="128" t="s">
        <v>2</v>
      </c>
    </row>
    <row r="80" spans="10:40" ht="72.599999999999994" thickBot="1" x14ac:dyDescent="0.35">
      <c r="M80" s="103">
        <v>67</v>
      </c>
      <c r="N80" s="438"/>
      <c r="O80" s="104" t="s">
        <v>156</v>
      </c>
      <c r="P80" s="439"/>
      <c r="Q80" s="428"/>
      <c r="R80" s="128" t="s">
        <v>416</v>
      </c>
      <c r="S80" s="128" t="s">
        <v>2</v>
      </c>
      <c r="T80" s="128" t="s">
        <v>1</v>
      </c>
      <c r="U80" s="128" t="s">
        <v>1</v>
      </c>
      <c r="V80" s="128" t="s">
        <v>1</v>
      </c>
      <c r="W80" s="128" t="s">
        <v>1</v>
      </c>
      <c r="X80" s="128" t="s">
        <v>1</v>
      </c>
      <c r="Y80" s="128" t="s">
        <v>1</v>
      </c>
      <c r="Z80" s="128" t="s">
        <v>1</v>
      </c>
      <c r="AA80" s="128" t="s">
        <v>1</v>
      </c>
      <c r="AB80" s="128" t="s">
        <v>1</v>
      </c>
      <c r="AC80" s="128" t="s">
        <v>1</v>
      </c>
      <c r="AD80" s="128" t="s">
        <v>1</v>
      </c>
      <c r="AE80" s="129" t="s">
        <v>398</v>
      </c>
      <c r="AF80" s="128" t="s">
        <v>1</v>
      </c>
      <c r="AG80" s="128" t="s">
        <v>2</v>
      </c>
      <c r="AH80" s="128" t="s">
        <v>2</v>
      </c>
      <c r="AI80" s="128" t="s">
        <v>1</v>
      </c>
      <c r="AJ80" s="128" t="s">
        <v>2</v>
      </c>
      <c r="AK80" s="128" t="s">
        <v>2</v>
      </c>
      <c r="AL80" s="128" t="s">
        <v>2</v>
      </c>
      <c r="AM80" s="128" t="s">
        <v>2</v>
      </c>
      <c r="AN80" s="128" t="s">
        <v>2</v>
      </c>
    </row>
    <row r="81" spans="13:40" ht="72.599999999999994" thickBot="1" x14ac:dyDescent="0.35">
      <c r="M81" s="103">
        <v>68</v>
      </c>
      <c r="N81" s="431"/>
      <c r="O81" s="104" t="s">
        <v>157</v>
      </c>
      <c r="P81" s="433"/>
      <c r="Q81" s="429"/>
      <c r="R81" s="128" t="s">
        <v>416</v>
      </c>
      <c r="S81" s="128" t="s">
        <v>2</v>
      </c>
      <c r="T81" s="128" t="s">
        <v>1</v>
      </c>
      <c r="U81" s="128" t="s">
        <v>1</v>
      </c>
      <c r="V81" s="128" t="s">
        <v>1</v>
      </c>
      <c r="W81" s="128" t="s">
        <v>1</v>
      </c>
      <c r="X81" s="128" t="s">
        <v>1</v>
      </c>
      <c r="Y81" s="128" t="s">
        <v>1</v>
      </c>
      <c r="Z81" s="128" t="s">
        <v>1</v>
      </c>
      <c r="AA81" s="128" t="s">
        <v>1</v>
      </c>
      <c r="AB81" s="128" t="s">
        <v>1</v>
      </c>
      <c r="AC81" s="128" t="s">
        <v>1</v>
      </c>
      <c r="AD81" s="128" t="s">
        <v>1</v>
      </c>
      <c r="AE81" s="129" t="s">
        <v>398</v>
      </c>
      <c r="AF81" s="128" t="s">
        <v>1</v>
      </c>
      <c r="AG81" s="128" t="s">
        <v>2</v>
      </c>
      <c r="AH81" s="128" t="s">
        <v>2</v>
      </c>
      <c r="AI81" s="128" t="s">
        <v>1</v>
      </c>
      <c r="AJ81" s="128" t="s">
        <v>2</v>
      </c>
      <c r="AK81" s="128" t="s">
        <v>2</v>
      </c>
      <c r="AL81" s="128" t="s">
        <v>2</v>
      </c>
      <c r="AM81" s="128" t="s">
        <v>2</v>
      </c>
      <c r="AN81" s="128" t="s">
        <v>2</v>
      </c>
    </row>
    <row r="82" spans="13:40" ht="21.6" thickBot="1" x14ac:dyDescent="0.35">
      <c r="M82" s="125"/>
      <c r="N82" s="126"/>
      <c r="O82" s="134"/>
      <c r="P82" s="135"/>
      <c r="Q82" s="136"/>
      <c r="R82" s="126"/>
      <c r="S82" s="126"/>
      <c r="T82" s="137"/>
      <c r="U82" s="137"/>
      <c r="V82" s="137"/>
      <c r="W82" s="127"/>
      <c r="X82" s="127"/>
      <c r="Y82" s="137"/>
      <c r="Z82" s="137"/>
      <c r="AA82" s="137"/>
      <c r="AB82" s="127"/>
      <c r="AC82" s="127"/>
      <c r="AD82" s="127"/>
      <c r="AE82" s="137"/>
      <c r="AF82" s="127"/>
      <c r="AG82" s="126"/>
      <c r="AH82" s="126"/>
      <c r="AI82" s="127"/>
      <c r="AJ82" s="126"/>
      <c r="AK82" s="126"/>
      <c r="AL82" s="126"/>
      <c r="AM82" s="126"/>
      <c r="AN82" s="126"/>
    </row>
    <row r="83" spans="13:40" ht="21.6" thickBot="1" x14ac:dyDescent="0.35">
      <c r="M83" s="112">
        <v>1</v>
      </c>
      <c r="N83" s="113" t="s">
        <v>397</v>
      </c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</row>
    <row r="84" spans="13:40" ht="18.600000000000001" thickBot="1" x14ac:dyDescent="0.35">
      <c r="M84" s="114"/>
      <c r="N84" s="113" t="s">
        <v>398</v>
      </c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3:40" ht="18.600000000000001" thickBot="1" x14ac:dyDescent="0.35">
      <c r="M85" s="115"/>
      <c r="N85" s="116" t="s">
        <v>274</v>
      </c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</row>
    <row r="86" spans="13:40" ht="18.600000000000001" thickBot="1" x14ac:dyDescent="0.35">
      <c r="M86" s="117"/>
      <c r="N86" s="113" t="s">
        <v>399</v>
      </c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</row>
    <row r="87" spans="13:40" ht="18.600000000000001" thickBot="1" x14ac:dyDescent="0.35">
      <c r="M87" s="118"/>
      <c r="N87" s="116" t="s">
        <v>400</v>
      </c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</row>
    <row r="88" spans="13:40" ht="15" thickBot="1" x14ac:dyDescent="0.35"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</row>
  </sheetData>
  <mergeCells count="60">
    <mergeCell ref="N68:N69"/>
    <mergeCell ref="P68:P69"/>
    <mergeCell ref="Q68:Q69"/>
    <mergeCell ref="N71:N73"/>
    <mergeCell ref="P71:P73"/>
    <mergeCell ref="Q71:Q73"/>
    <mergeCell ref="N74:N76"/>
    <mergeCell ref="P74:P76"/>
    <mergeCell ref="Q74:Q76"/>
    <mergeCell ref="N77:N81"/>
    <mergeCell ref="P77:P81"/>
    <mergeCell ref="Q77:Q81"/>
    <mergeCell ref="N44:N52"/>
    <mergeCell ref="P44:P52"/>
    <mergeCell ref="Q44:Q52"/>
    <mergeCell ref="N8:N18"/>
    <mergeCell ref="P8:P18"/>
    <mergeCell ref="Q8:Q32"/>
    <mergeCell ref="N19:N25"/>
    <mergeCell ref="P19:P25"/>
    <mergeCell ref="N26:N32"/>
    <mergeCell ref="P26:P32"/>
    <mergeCell ref="N66:N67"/>
    <mergeCell ref="P66:P67"/>
    <mergeCell ref="Q66:Q67"/>
    <mergeCell ref="P56:P64"/>
    <mergeCell ref="Q56:Q64"/>
    <mergeCell ref="N56:N65"/>
    <mergeCell ref="W56:W63"/>
    <mergeCell ref="X56:X63"/>
    <mergeCell ref="Y56:Y63"/>
    <mergeCell ref="Z56:Z63"/>
    <mergeCell ref="M5:M6"/>
    <mergeCell ref="N5:N6"/>
    <mergeCell ref="P5:P6"/>
    <mergeCell ref="Q5:Q6"/>
    <mergeCell ref="R5:AL5"/>
    <mergeCell ref="N33:N43"/>
    <mergeCell ref="P33:P43"/>
    <mergeCell ref="Q33:Q41"/>
    <mergeCell ref="Q42:Q43"/>
    <mergeCell ref="S56:S63"/>
    <mergeCell ref="T56:T63"/>
    <mergeCell ref="U56:U63"/>
    <mergeCell ref="AK56:AK63"/>
    <mergeCell ref="AL56:AL63"/>
    <mergeCell ref="AM56:AM63"/>
    <mergeCell ref="AN56:AN63"/>
    <mergeCell ref="R56:R63"/>
    <mergeCell ref="AF56:AF63"/>
    <mergeCell ref="AG56:AG63"/>
    <mergeCell ref="AH56:AH63"/>
    <mergeCell ref="AI56:AI63"/>
    <mergeCell ref="AJ56:AJ63"/>
    <mergeCell ref="AA56:AA63"/>
    <mergeCell ref="AB56:AB63"/>
    <mergeCell ref="AC56:AC63"/>
    <mergeCell ref="AD56:AD63"/>
    <mergeCell ref="AE56:AE63"/>
    <mergeCell ref="V56:V6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BA17-F99D-4E54-95F4-BE749CEC48CE}">
  <dimension ref="A1"/>
  <sheetViews>
    <sheetView zoomScale="145" zoomScaleNormal="145" workbookViewId="0">
      <selection activeCell="N22" sqref="N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9BDA-323A-4052-BAFB-F450B8A708E1}">
  <dimension ref="A1:AB432"/>
  <sheetViews>
    <sheetView tabSelected="1" topLeftCell="A399" zoomScale="70" zoomScaleNormal="70" workbookViewId="0">
      <selection activeCell="D186" sqref="D186"/>
    </sheetView>
  </sheetViews>
  <sheetFormatPr defaultColWidth="14.44140625" defaultRowHeight="15.6" x14ac:dyDescent="0.3"/>
  <cols>
    <col min="1" max="1" width="6.6640625" style="145" customWidth="1"/>
    <col min="2" max="2" width="10.33203125" style="145" customWidth="1"/>
    <col min="3" max="3" width="36.6640625" style="146" customWidth="1"/>
    <col min="4" max="4" width="49.44140625" style="146" customWidth="1"/>
    <col min="5" max="5" width="23.44140625" style="147" customWidth="1"/>
    <col min="6" max="6" width="19.44140625" style="148" customWidth="1"/>
    <col min="7" max="7" width="27.44140625" style="145" hidden="1" customWidth="1"/>
    <col min="8" max="8" width="12" style="146" customWidth="1"/>
    <col min="9" max="10" width="9.88671875" style="146" customWidth="1"/>
    <col min="11" max="11" width="12.33203125" style="146" customWidth="1"/>
    <col min="12" max="12" width="17.6640625" style="146" customWidth="1"/>
    <col min="13" max="24" width="9.88671875" style="146" customWidth="1"/>
    <col min="25" max="25" width="72" style="146" customWidth="1"/>
    <col min="26" max="26" width="53.33203125" style="146" customWidth="1"/>
    <col min="27" max="249" width="14.44140625" style="146"/>
    <col min="250" max="250" width="6.6640625" style="146" customWidth="1"/>
    <col min="251" max="251" width="10.33203125" style="146" customWidth="1"/>
    <col min="252" max="252" width="36.6640625" style="146" customWidth="1"/>
    <col min="253" max="253" width="45.5546875" style="146" customWidth="1"/>
    <col min="254" max="254" width="23.44140625" style="146" customWidth="1"/>
    <col min="255" max="255" width="19.44140625" style="146" customWidth="1"/>
    <col min="256" max="262" width="0" style="146" hidden="1" customWidth="1"/>
    <col min="263" max="265" width="9.88671875" style="146" customWidth="1"/>
    <col min="266" max="266" width="12.33203125" style="146" customWidth="1"/>
    <col min="267" max="279" width="9.88671875" style="146" customWidth="1"/>
    <col min="280" max="505" width="14.44140625" style="146"/>
    <col min="506" max="506" width="6.6640625" style="146" customWidth="1"/>
    <col min="507" max="507" width="10.33203125" style="146" customWidth="1"/>
    <col min="508" max="508" width="36.6640625" style="146" customWidth="1"/>
    <col min="509" max="509" width="45.5546875" style="146" customWidth="1"/>
    <col min="510" max="510" width="23.44140625" style="146" customWidth="1"/>
    <col min="511" max="511" width="19.44140625" style="146" customWidth="1"/>
    <col min="512" max="518" width="0" style="146" hidden="1" customWidth="1"/>
    <col min="519" max="521" width="9.88671875" style="146" customWidth="1"/>
    <col min="522" max="522" width="12.33203125" style="146" customWidth="1"/>
    <col min="523" max="535" width="9.88671875" style="146" customWidth="1"/>
    <col min="536" max="761" width="14.44140625" style="146"/>
    <col min="762" max="762" width="6.6640625" style="146" customWidth="1"/>
    <col min="763" max="763" width="10.33203125" style="146" customWidth="1"/>
    <col min="764" max="764" width="36.6640625" style="146" customWidth="1"/>
    <col min="765" max="765" width="45.5546875" style="146" customWidth="1"/>
    <col min="766" max="766" width="23.44140625" style="146" customWidth="1"/>
    <col min="767" max="767" width="19.44140625" style="146" customWidth="1"/>
    <col min="768" max="774" width="0" style="146" hidden="1" customWidth="1"/>
    <col min="775" max="777" width="9.88671875" style="146" customWidth="1"/>
    <col min="778" max="778" width="12.33203125" style="146" customWidth="1"/>
    <col min="779" max="791" width="9.88671875" style="146" customWidth="1"/>
    <col min="792" max="1017" width="14.44140625" style="146"/>
    <col min="1018" max="1018" width="6.6640625" style="146" customWidth="1"/>
    <col min="1019" max="1019" width="10.33203125" style="146" customWidth="1"/>
    <col min="1020" max="1020" width="36.6640625" style="146" customWidth="1"/>
    <col min="1021" max="1021" width="45.5546875" style="146" customWidth="1"/>
    <col min="1022" max="1022" width="23.44140625" style="146" customWidth="1"/>
    <col min="1023" max="1023" width="19.44140625" style="146" customWidth="1"/>
    <col min="1024" max="1030" width="0" style="146" hidden="1" customWidth="1"/>
    <col min="1031" max="1033" width="9.88671875" style="146" customWidth="1"/>
    <col min="1034" max="1034" width="12.33203125" style="146" customWidth="1"/>
    <col min="1035" max="1047" width="9.88671875" style="146" customWidth="1"/>
    <col min="1048" max="1273" width="14.44140625" style="146"/>
    <col min="1274" max="1274" width="6.6640625" style="146" customWidth="1"/>
    <col min="1275" max="1275" width="10.33203125" style="146" customWidth="1"/>
    <col min="1276" max="1276" width="36.6640625" style="146" customWidth="1"/>
    <col min="1277" max="1277" width="45.5546875" style="146" customWidth="1"/>
    <col min="1278" max="1278" width="23.44140625" style="146" customWidth="1"/>
    <col min="1279" max="1279" width="19.44140625" style="146" customWidth="1"/>
    <col min="1280" max="1286" width="0" style="146" hidden="1" customWidth="1"/>
    <col min="1287" max="1289" width="9.88671875" style="146" customWidth="1"/>
    <col min="1290" max="1290" width="12.33203125" style="146" customWidth="1"/>
    <col min="1291" max="1303" width="9.88671875" style="146" customWidth="1"/>
    <col min="1304" max="1529" width="14.44140625" style="146"/>
    <col min="1530" max="1530" width="6.6640625" style="146" customWidth="1"/>
    <col min="1531" max="1531" width="10.33203125" style="146" customWidth="1"/>
    <col min="1532" max="1532" width="36.6640625" style="146" customWidth="1"/>
    <col min="1533" max="1533" width="45.5546875" style="146" customWidth="1"/>
    <col min="1534" max="1534" width="23.44140625" style="146" customWidth="1"/>
    <col min="1535" max="1535" width="19.44140625" style="146" customWidth="1"/>
    <col min="1536" max="1542" width="0" style="146" hidden="1" customWidth="1"/>
    <col min="1543" max="1545" width="9.88671875" style="146" customWidth="1"/>
    <col min="1546" max="1546" width="12.33203125" style="146" customWidth="1"/>
    <col min="1547" max="1559" width="9.88671875" style="146" customWidth="1"/>
    <col min="1560" max="1785" width="14.44140625" style="146"/>
    <col min="1786" max="1786" width="6.6640625" style="146" customWidth="1"/>
    <col min="1787" max="1787" width="10.33203125" style="146" customWidth="1"/>
    <col min="1788" max="1788" width="36.6640625" style="146" customWidth="1"/>
    <col min="1789" max="1789" width="45.5546875" style="146" customWidth="1"/>
    <col min="1790" max="1790" width="23.44140625" style="146" customWidth="1"/>
    <col min="1791" max="1791" width="19.44140625" style="146" customWidth="1"/>
    <col min="1792" max="1798" width="0" style="146" hidden="1" customWidth="1"/>
    <col min="1799" max="1801" width="9.88671875" style="146" customWidth="1"/>
    <col min="1802" max="1802" width="12.33203125" style="146" customWidth="1"/>
    <col min="1803" max="1815" width="9.88671875" style="146" customWidth="1"/>
    <col min="1816" max="2041" width="14.44140625" style="146"/>
    <col min="2042" max="2042" width="6.6640625" style="146" customWidth="1"/>
    <col min="2043" max="2043" width="10.33203125" style="146" customWidth="1"/>
    <col min="2044" max="2044" width="36.6640625" style="146" customWidth="1"/>
    <col min="2045" max="2045" width="45.5546875" style="146" customWidth="1"/>
    <col min="2046" max="2046" width="23.44140625" style="146" customWidth="1"/>
    <col min="2047" max="2047" width="19.44140625" style="146" customWidth="1"/>
    <col min="2048" max="2054" width="0" style="146" hidden="1" customWidth="1"/>
    <col min="2055" max="2057" width="9.88671875" style="146" customWidth="1"/>
    <col min="2058" max="2058" width="12.33203125" style="146" customWidth="1"/>
    <col min="2059" max="2071" width="9.88671875" style="146" customWidth="1"/>
    <col min="2072" max="2297" width="14.44140625" style="146"/>
    <col min="2298" max="2298" width="6.6640625" style="146" customWidth="1"/>
    <col min="2299" max="2299" width="10.33203125" style="146" customWidth="1"/>
    <col min="2300" max="2300" width="36.6640625" style="146" customWidth="1"/>
    <col min="2301" max="2301" width="45.5546875" style="146" customWidth="1"/>
    <col min="2302" max="2302" width="23.44140625" style="146" customWidth="1"/>
    <col min="2303" max="2303" width="19.44140625" style="146" customWidth="1"/>
    <col min="2304" max="2310" width="0" style="146" hidden="1" customWidth="1"/>
    <col min="2311" max="2313" width="9.88671875" style="146" customWidth="1"/>
    <col min="2314" max="2314" width="12.33203125" style="146" customWidth="1"/>
    <col min="2315" max="2327" width="9.88671875" style="146" customWidth="1"/>
    <col min="2328" max="2553" width="14.44140625" style="146"/>
    <col min="2554" max="2554" width="6.6640625" style="146" customWidth="1"/>
    <col min="2555" max="2555" width="10.33203125" style="146" customWidth="1"/>
    <col min="2556" max="2556" width="36.6640625" style="146" customWidth="1"/>
    <col min="2557" max="2557" width="45.5546875" style="146" customWidth="1"/>
    <col min="2558" max="2558" width="23.44140625" style="146" customWidth="1"/>
    <col min="2559" max="2559" width="19.44140625" style="146" customWidth="1"/>
    <col min="2560" max="2566" width="0" style="146" hidden="1" customWidth="1"/>
    <col min="2567" max="2569" width="9.88671875" style="146" customWidth="1"/>
    <col min="2570" max="2570" width="12.33203125" style="146" customWidth="1"/>
    <col min="2571" max="2583" width="9.88671875" style="146" customWidth="1"/>
    <col min="2584" max="2809" width="14.44140625" style="146"/>
    <col min="2810" max="2810" width="6.6640625" style="146" customWidth="1"/>
    <col min="2811" max="2811" width="10.33203125" style="146" customWidth="1"/>
    <col min="2812" max="2812" width="36.6640625" style="146" customWidth="1"/>
    <col min="2813" max="2813" width="45.5546875" style="146" customWidth="1"/>
    <col min="2814" max="2814" width="23.44140625" style="146" customWidth="1"/>
    <col min="2815" max="2815" width="19.44140625" style="146" customWidth="1"/>
    <col min="2816" max="2822" width="0" style="146" hidden="1" customWidth="1"/>
    <col min="2823" max="2825" width="9.88671875" style="146" customWidth="1"/>
    <col min="2826" max="2826" width="12.33203125" style="146" customWidth="1"/>
    <col min="2827" max="2839" width="9.88671875" style="146" customWidth="1"/>
    <col min="2840" max="3065" width="14.44140625" style="146"/>
    <col min="3066" max="3066" width="6.6640625" style="146" customWidth="1"/>
    <col min="3067" max="3067" width="10.33203125" style="146" customWidth="1"/>
    <col min="3068" max="3068" width="36.6640625" style="146" customWidth="1"/>
    <col min="3069" max="3069" width="45.5546875" style="146" customWidth="1"/>
    <col min="3070" max="3070" width="23.44140625" style="146" customWidth="1"/>
    <col min="3071" max="3071" width="19.44140625" style="146" customWidth="1"/>
    <col min="3072" max="3078" width="0" style="146" hidden="1" customWidth="1"/>
    <col min="3079" max="3081" width="9.88671875" style="146" customWidth="1"/>
    <col min="3082" max="3082" width="12.33203125" style="146" customWidth="1"/>
    <col min="3083" max="3095" width="9.88671875" style="146" customWidth="1"/>
    <col min="3096" max="3321" width="14.44140625" style="146"/>
    <col min="3322" max="3322" width="6.6640625" style="146" customWidth="1"/>
    <col min="3323" max="3323" width="10.33203125" style="146" customWidth="1"/>
    <col min="3324" max="3324" width="36.6640625" style="146" customWidth="1"/>
    <col min="3325" max="3325" width="45.5546875" style="146" customWidth="1"/>
    <col min="3326" max="3326" width="23.44140625" style="146" customWidth="1"/>
    <col min="3327" max="3327" width="19.44140625" style="146" customWidth="1"/>
    <col min="3328" max="3334" width="0" style="146" hidden="1" customWidth="1"/>
    <col min="3335" max="3337" width="9.88671875" style="146" customWidth="1"/>
    <col min="3338" max="3338" width="12.33203125" style="146" customWidth="1"/>
    <col min="3339" max="3351" width="9.88671875" style="146" customWidth="1"/>
    <col min="3352" max="3577" width="14.44140625" style="146"/>
    <col min="3578" max="3578" width="6.6640625" style="146" customWidth="1"/>
    <col min="3579" max="3579" width="10.33203125" style="146" customWidth="1"/>
    <col min="3580" max="3580" width="36.6640625" style="146" customWidth="1"/>
    <col min="3581" max="3581" width="45.5546875" style="146" customWidth="1"/>
    <col min="3582" max="3582" width="23.44140625" style="146" customWidth="1"/>
    <col min="3583" max="3583" width="19.44140625" style="146" customWidth="1"/>
    <col min="3584" max="3590" width="0" style="146" hidden="1" customWidth="1"/>
    <col min="3591" max="3593" width="9.88671875" style="146" customWidth="1"/>
    <col min="3594" max="3594" width="12.33203125" style="146" customWidth="1"/>
    <col min="3595" max="3607" width="9.88671875" style="146" customWidth="1"/>
    <col min="3608" max="3833" width="14.44140625" style="146"/>
    <col min="3834" max="3834" width="6.6640625" style="146" customWidth="1"/>
    <col min="3835" max="3835" width="10.33203125" style="146" customWidth="1"/>
    <col min="3836" max="3836" width="36.6640625" style="146" customWidth="1"/>
    <col min="3837" max="3837" width="45.5546875" style="146" customWidth="1"/>
    <col min="3838" max="3838" width="23.44140625" style="146" customWidth="1"/>
    <col min="3839" max="3839" width="19.44140625" style="146" customWidth="1"/>
    <col min="3840" max="3846" width="0" style="146" hidden="1" customWidth="1"/>
    <col min="3847" max="3849" width="9.88671875" style="146" customWidth="1"/>
    <col min="3850" max="3850" width="12.33203125" style="146" customWidth="1"/>
    <col min="3851" max="3863" width="9.88671875" style="146" customWidth="1"/>
    <col min="3864" max="4089" width="14.44140625" style="146"/>
    <col min="4090" max="4090" width="6.6640625" style="146" customWidth="1"/>
    <col min="4091" max="4091" width="10.33203125" style="146" customWidth="1"/>
    <col min="4092" max="4092" width="36.6640625" style="146" customWidth="1"/>
    <col min="4093" max="4093" width="45.5546875" style="146" customWidth="1"/>
    <col min="4094" max="4094" width="23.44140625" style="146" customWidth="1"/>
    <col min="4095" max="4095" width="19.44140625" style="146" customWidth="1"/>
    <col min="4096" max="4102" width="0" style="146" hidden="1" customWidth="1"/>
    <col min="4103" max="4105" width="9.88671875" style="146" customWidth="1"/>
    <col min="4106" max="4106" width="12.33203125" style="146" customWidth="1"/>
    <col min="4107" max="4119" width="9.88671875" style="146" customWidth="1"/>
    <col min="4120" max="4345" width="14.44140625" style="146"/>
    <col min="4346" max="4346" width="6.6640625" style="146" customWidth="1"/>
    <col min="4347" max="4347" width="10.33203125" style="146" customWidth="1"/>
    <col min="4348" max="4348" width="36.6640625" style="146" customWidth="1"/>
    <col min="4349" max="4349" width="45.5546875" style="146" customWidth="1"/>
    <col min="4350" max="4350" width="23.44140625" style="146" customWidth="1"/>
    <col min="4351" max="4351" width="19.44140625" style="146" customWidth="1"/>
    <col min="4352" max="4358" width="0" style="146" hidden="1" customWidth="1"/>
    <col min="4359" max="4361" width="9.88671875" style="146" customWidth="1"/>
    <col min="4362" max="4362" width="12.33203125" style="146" customWidth="1"/>
    <col min="4363" max="4375" width="9.88671875" style="146" customWidth="1"/>
    <col min="4376" max="4601" width="14.44140625" style="146"/>
    <col min="4602" max="4602" width="6.6640625" style="146" customWidth="1"/>
    <col min="4603" max="4603" width="10.33203125" style="146" customWidth="1"/>
    <col min="4604" max="4604" width="36.6640625" style="146" customWidth="1"/>
    <col min="4605" max="4605" width="45.5546875" style="146" customWidth="1"/>
    <col min="4606" max="4606" width="23.44140625" style="146" customWidth="1"/>
    <col min="4607" max="4607" width="19.44140625" style="146" customWidth="1"/>
    <col min="4608" max="4614" width="0" style="146" hidden="1" customWidth="1"/>
    <col min="4615" max="4617" width="9.88671875" style="146" customWidth="1"/>
    <col min="4618" max="4618" width="12.33203125" style="146" customWidth="1"/>
    <col min="4619" max="4631" width="9.88671875" style="146" customWidth="1"/>
    <col min="4632" max="4857" width="14.44140625" style="146"/>
    <col min="4858" max="4858" width="6.6640625" style="146" customWidth="1"/>
    <col min="4859" max="4859" width="10.33203125" style="146" customWidth="1"/>
    <col min="4860" max="4860" width="36.6640625" style="146" customWidth="1"/>
    <col min="4861" max="4861" width="45.5546875" style="146" customWidth="1"/>
    <col min="4862" max="4862" width="23.44140625" style="146" customWidth="1"/>
    <col min="4863" max="4863" width="19.44140625" style="146" customWidth="1"/>
    <col min="4864" max="4870" width="0" style="146" hidden="1" customWidth="1"/>
    <col min="4871" max="4873" width="9.88671875" style="146" customWidth="1"/>
    <col min="4874" max="4874" width="12.33203125" style="146" customWidth="1"/>
    <col min="4875" max="4887" width="9.88671875" style="146" customWidth="1"/>
    <col min="4888" max="5113" width="14.44140625" style="146"/>
    <col min="5114" max="5114" width="6.6640625" style="146" customWidth="1"/>
    <col min="5115" max="5115" width="10.33203125" style="146" customWidth="1"/>
    <col min="5116" max="5116" width="36.6640625" style="146" customWidth="1"/>
    <col min="5117" max="5117" width="45.5546875" style="146" customWidth="1"/>
    <col min="5118" max="5118" width="23.44140625" style="146" customWidth="1"/>
    <col min="5119" max="5119" width="19.44140625" style="146" customWidth="1"/>
    <col min="5120" max="5126" width="0" style="146" hidden="1" customWidth="1"/>
    <col min="5127" max="5129" width="9.88671875" style="146" customWidth="1"/>
    <col min="5130" max="5130" width="12.33203125" style="146" customWidth="1"/>
    <col min="5131" max="5143" width="9.88671875" style="146" customWidth="1"/>
    <col min="5144" max="5369" width="14.44140625" style="146"/>
    <col min="5370" max="5370" width="6.6640625" style="146" customWidth="1"/>
    <col min="5371" max="5371" width="10.33203125" style="146" customWidth="1"/>
    <col min="5372" max="5372" width="36.6640625" style="146" customWidth="1"/>
    <col min="5373" max="5373" width="45.5546875" style="146" customWidth="1"/>
    <col min="5374" max="5374" width="23.44140625" style="146" customWidth="1"/>
    <col min="5375" max="5375" width="19.44140625" style="146" customWidth="1"/>
    <col min="5376" max="5382" width="0" style="146" hidden="1" customWidth="1"/>
    <col min="5383" max="5385" width="9.88671875" style="146" customWidth="1"/>
    <col min="5386" max="5386" width="12.33203125" style="146" customWidth="1"/>
    <col min="5387" max="5399" width="9.88671875" style="146" customWidth="1"/>
    <col min="5400" max="5625" width="14.44140625" style="146"/>
    <col min="5626" max="5626" width="6.6640625" style="146" customWidth="1"/>
    <col min="5627" max="5627" width="10.33203125" style="146" customWidth="1"/>
    <col min="5628" max="5628" width="36.6640625" style="146" customWidth="1"/>
    <col min="5629" max="5629" width="45.5546875" style="146" customWidth="1"/>
    <col min="5630" max="5630" width="23.44140625" style="146" customWidth="1"/>
    <col min="5631" max="5631" width="19.44140625" style="146" customWidth="1"/>
    <col min="5632" max="5638" width="0" style="146" hidden="1" customWidth="1"/>
    <col min="5639" max="5641" width="9.88671875" style="146" customWidth="1"/>
    <col min="5642" max="5642" width="12.33203125" style="146" customWidth="1"/>
    <col min="5643" max="5655" width="9.88671875" style="146" customWidth="1"/>
    <col min="5656" max="5881" width="14.44140625" style="146"/>
    <col min="5882" max="5882" width="6.6640625" style="146" customWidth="1"/>
    <col min="5883" max="5883" width="10.33203125" style="146" customWidth="1"/>
    <col min="5884" max="5884" width="36.6640625" style="146" customWidth="1"/>
    <col min="5885" max="5885" width="45.5546875" style="146" customWidth="1"/>
    <col min="5886" max="5886" width="23.44140625" style="146" customWidth="1"/>
    <col min="5887" max="5887" width="19.44140625" style="146" customWidth="1"/>
    <col min="5888" max="5894" width="0" style="146" hidden="1" customWidth="1"/>
    <col min="5895" max="5897" width="9.88671875" style="146" customWidth="1"/>
    <col min="5898" max="5898" width="12.33203125" style="146" customWidth="1"/>
    <col min="5899" max="5911" width="9.88671875" style="146" customWidth="1"/>
    <col min="5912" max="6137" width="14.44140625" style="146"/>
    <col min="6138" max="6138" width="6.6640625" style="146" customWidth="1"/>
    <col min="6139" max="6139" width="10.33203125" style="146" customWidth="1"/>
    <col min="6140" max="6140" width="36.6640625" style="146" customWidth="1"/>
    <col min="6141" max="6141" width="45.5546875" style="146" customWidth="1"/>
    <col min="6142" max="6142" width="23.44140625" style="146" customWidth="1"/>
    <col min="6143" max="6143" width="19.44140625" style="146" customWidth="1"/>
    <col min="6144" max="6150" width="0" style="146" hidden="1" customWidth="1"/>
    <col min="6151" max="6153" width="9.88671875" style="146" customWidth="1"/>
    <col min="6154" max="6154" width="12.33203125" style="146" customWidth="1"/>
    <col min="6155" max="6167" width="9.88671875" style="146" customWidth="1"/>
    <col min="6168" max="6393" width="14.44140625" style="146"/>
    <col min="6394" max="6394" width="6.6640625" style="146" customWidth="1"/>
    <col min="6395" max="6395" width="10.33203125" style="146" customWidth="1"/>
    <col min="6396" max="6396" width="36.6640625" style="146" customWidth="1"/>
    <col min="6397" max="6397" width="45.5546875" style="146" customWidth="1"/>
    <col min="6398" max="6398" width="23.44140625" style="146" customWidth="1"/>
    <col min="6399" max="6399" width="19.44140625" style="146" customWidth="1"/>
    <col min="6400" max="6406" width="0" style="146" hidden="1" customWidth="1"/>
    <col min="6407" max="6409" width="9.88671875" style="146" customWidth="1"/>
    <col min="6410" max="6410" width="12.33203125" style="146" customWidth="1"/>
    <col min="6411" max="6423" width="9.88671875" style="146" customWidth="1"/>
    <col min="6424" max="6649" width="14.44140625" style="146"/>
    <col min="6650" max="6650" width="6.6640625" style="146" customWidth="1"/>
    <col min="6651" max="6651" width="10.33203125" style="146" customWidth="1"/>
    <col min="6652" max="6652" width="36.6640625" style="146" customWidth="1"/>
    <col min="6653" max="6653" width="45.5546875" style="146" customWidth="1"/>
    <col min="6654" max="6654" width="23.44140625" style="146" customWidth="1"/>
    <col min="6655" max="6655" width="19.44140625" style="146" customWidth="1"/>
    <col min="6656" max="6662" width="0" style="146" hidden="1" customWidth="1"/>
    <col min="6663" max="6665" width="9.88671875" style="146" customWidth="1"/>
    <col min="6666" max="6666" width="12.33203125" style="146" customWidth="1"/>
    <col min="6667" max="6679" width="9.88671875" style="146" customWidth="1"/>
    <col min="6680" max="6905" width="14.44140625" style="146"/>
    <col min="6906" max="6906" width="6.6640625" style="146" customWidth="1"/>
    <col min="6907" max="6907" width="10.33203125" style="146" customWidth="1"/>
    <col min="6908" max="6908" width="36.6640625" style="146" customWidth="1"/>
    <col min="6909" max="6909" width="45.5546875" style="146" customWidth="1"/>
    <col min="6910" max="6910" width="23.44140625" style="146" customWidth="1"/>
    <col min="6911" max="6911" width="19.44140625" style="146" customWidth="1"/>
    <col min="6912" max="6918" width="0" style="146" hidden="1" customWidth="1"/>
    <col min="6919" max="6921" width="9.88671875" style="146" customWidth="1"/>
    <col min="6922" max="6922" width="12.33203125" style="146" customWidth="1"/>
    <col min="6923" max="6935" width="9.88671875" style="146" customWidth="1"/>
    <col min="6936" max="7161" width="14.44140625" style="146"/>
    <col min="7162" max="7162" width="6.6640625" style="146" customWidth="1"/>
    <col min="7163" max="7163" width="10.33203125" style="146" customWidth="1"/>
    <col min="7164" max="7164" width="36.6640625" style="146" customWidth="1"/>
    <col min="7165" max="7165" width="45.5546875" style="146" customWidth="1"/>
    <col min="7166" max="7166" width="23.44140625" style="146" customWidth="1"/>
    <col min="7167" max="7167" width="19.44140625" style="146" customWidth="1"/>
    <col min="7168" max="7174" width="0" style="146" hidden="1" customWidth="1"/>
    <col min="7175" max="7177" width="9.88671875" style="146" customWidth="1"/>
    <col min="7178" max="7178" width="12.33203125" style="146" customWidth="1"/>
    <col min="7179" max="7191" width="9.88671875" style="146" customWidth="1"/>
    <col min="7192" max="7417" width="14.44140625" style="146"/>
    <col min="7418" max="7418" width="6.6640625" style="146" customWidth="1"/>
    <col min="7419" max="7419" width="10.33203125" style="146" customWidth="1"/>
    <col min="7420" max="7420" width="36.6640625" style="146" customWidth="1"/>
    <col min="7421" max="7421" width="45.5546875" style="146" customWidth="1"/>
    <col min="7422" max="7422" width="23.44140625" style="146" customWidth="1"/>
    <col min="7423" max="7423" width="19.44140625" style="146" customWidth="1"/>
    <col min="7424" max="7430" width="0" style="146" hidden="1" customWidth="1"/>
    <col min="7431" max="7433" width="9.88671875" style="146" customWidth="1"/>
    <col min="7434" max="7434" width="12.33203125" style="146" customWidth="1"/>
    <col min="7435" max="7447" width="9.88671875" style="146" customWidth="1"/>
    <col min="7448" max="7673" width="14.44140625" style="146"/>
    <col min="7674" max="7674" width="6.6640625" style="146" customWidth="1"/>
    <col min="7675" max="7675" width="10.33203125" style="146" customWidth="1"/>
    <col min="7676" max="7676" width="36.6640625" style="146" customWidth="1"/>
    <col min="7677" max="7677" width="45.5546875" style="146" customWidth="1"/>
    <col min="7678" max="7678" width="23.44140625" style="146" customWidth="1"/>
    <col min="7679" max="7679" width="19.44140625" style="146" customWidth="1"/>
    <col min="7680" max="7686" width="0" style="146" hidden="1" customWidth="1"/>
    <col min="7687" max="7689" width="9.88671875" style="146" customWidth="1"/>
    <col min="7690" max="7690" width="12.33203125" style="146" customWidth="1"/>
    <col min="7691" max="7703" width="9.88671875" style="146" customWidth="1"/>
    <col min="7704" max="7929" width="14.44140625" style="146"/>
    <col min="7930" max="7930" width="6.6640625" style="146" customWidth="1"/>
    <col min="7931" max="7931" width="10.33203125" style="146" customWidth="1"/>
    <col min="7932" max="7932" width="36.6640625" style="146" customWidth="1"/>
    <col min="7933" max="7933" width="45.5546875" style="146" customWidth="1"/>
    <col min="7934" max="7934" width="23.44140625" style="146" customWidth="1"/>
    <col min="7935" max="7935" width="19.44140625" style="146" customWidth="1"/>
    <col min="7936" max="7942" width="0" style="146" hidden="1" customWidth="1"/>
    <col min="7943" max="7945" width="9.88671875" style="146" customWidth="1"/>
    <col min="7946" max="7946" width="12.33203125" style="146" customWidth="1"/>
    <col min="7947" max="7959" width="9.88671875" style="146" customWidth="1"/>
    <col min="7960" max="8185" width="14.44140625" style="146"/>
    <col min="8186" max="8186" width="6.6640625" style="146" customWidth="1"/>
    <col min="8187" max="8187" width="10.33203125" style="146" customWidth="1"/>
    <col min="8188" max="8188" width="36.6640625" style="146" customWidth="1"/>
    <col min="8189" max="8189" width="45.5546875" style="146" customWidth="1"/>
    <col min="8190" max="8190" width="23.44140625" style="146" customWidth="1"/>
    <col min="8191" max="8191" width="19.44140625" style="146" customWidth="1"/>
    <col min="8192" max="8198" width="0" style="146" hidden="1" customWidth="1"/>
    <col min="8199" max="8201" width="9.88671875" style="146" customWidth="1"/>
    <col min="8202" max="8202" width="12.33203125" style="146" customWidth="1"/>
    <col min="8203" max="8215" width="9.88671875" style="146" customWidth="1"/>
    <col min="8216" max="8441" width="14.44140625" style="146"/>
    <col min="8442" max="8442" width="6.6640625" style="146" customWidth="1"/>
    <col min="8443" max="8443" width="10.33203125" style="146" customWidth="1"/>
    <col min="8444" max="8444" width="36.6640625" style="146" customWidth="1"/>
    <col min="8445" max="8445" width="45.5546875" style="146" customWidth="1"/>
    <col min="8446" max="8446" width="23.44140625" style="146" customWidth="1"/>
    <col min="8447" max="8447" width="19.44140625" style="146" customWidth="1"/>
    <col min="8448" max="8454" width="0" style="146" hidden="1" customWidth="1"/>
    <col min="8455" max="8457" width="9.88671875" style="146" customWidth="1"/>
    <col min="8458" max="8458" width="12.33203125" style="146" customWidth="1"/>
    <col min="8459" max="8471" width="9.88671875" style="146" customWidth="1"/>
    <col min="8472" max="8697" width="14.44140625" style="146"/>
    <col min="8698" max="8698" width="6.6640625" style="146" customWidth="1"/>
    <col min="8699" max="8699" width="10.33203125" style="146" customWidth="1"/>
    <col min="8700" max="8700" width="36.6640625" style="146" customWidth="1"/>
    <col min="8701" max="8701" width="45.5546875" style="146" customWidth="1"/>
    <col min="8702" max="8702" width="23.44140625" style="146" customWidth="1"/>
    <col min="8703" max="8703" width="19.44140625" style="146" customWidth="1"/>
    <col min="8704" max="8710" width="0" style="146" hidden="1" customWidth="1"/>
    <col min="8711" max="8713" width="9.88671875" style="146" customWidth="1"/>
    <col min="8714" max="8714" width="12.33203125" style="146" customWidth="1"/>
    <col min="8715" max="8727" width="9.88671875" style="146" customWidth="1"/>
    <col min="8728" max="8953" width="14.44140625" style="146"/>
    <col min="8954" max="8954" width="6.6640625" style="146" customWidth="1"/>
    <col min="8955" max="8955" width="10.33203125" style="146" customWidth="1"/>
    <col min="8956" max="8956" width="36.6640625" style="146" customWidth="1"/>
    <col min="8957" max="8957" width="45.5546875" style="146" customWidth="1"/>
    <col min="8958" max="8958" width="23.44140625" style="146" customWidth="1"/>
    <col min="8959" max="8959" width="19.44140625" style="146" customWidth="1"/>
    <col min="8960" max="8966" width="0" style="146" hidden="1" customWidth="1"/>
    <col min="8967" max="8969" width="9.88671875" style="146" customWidth="1"/>
    <col min="8970" max="8970" width="12.33203125" style="146" customWidth="1"/>
    <col min="8971" max="8983" width="9.88671875" style="146" customWidth="1"/>
    <col min="8984" max="9209" width="14.44140625" style="146"/>
    <col min="9210" max="9210" width="6.6640625" style="146" customWidth="1"/>
    <col min="9211" max="9211" width="10.33203125" style="146" customWidth="1"/>
    <col min="9212" max="9212" width="36.6640625" style="146" customWidth="1"/>
    <col min="9213" max="9213" width="45.5546875" style="146" customWidth="1"/>
    <col min="9214" max="9214" width="23.44140625" style="146" customWidth="1"/>
    <col min="9215" max="9215" width="19.44140625" style="146" customWidth="1"/>
    <col min="9216" max="9222" width="0" style="146" hidden="1" customWidth="1"/>
    <col min="9223" max="9225" width="9.88671875" style="146" customWidth="1"/>
    <col min="9226" max="9226" width="12.33203125" style="146" customWidth="1"/>
    <col min="9227" max="9239" width="9.88671875" style="146" customWidth="1"/>
    <col min="9240" max="9465" width="14.44140625" style="146"/>
    <col min="9466" max="9466" width="6.6640625" style="146" customWidth="1"/>
    <col min="9467" max="9467" width="10.33203125" style="146" customWidth="1"/>
    <col min="9468" max="9468" width="36.6640625" style="146" customWidth="1"/>
    <col min="9469" max="9469" width="45.5546875" style="146" customWidth="1"/>
    <col min="9470" max="9470" width="23.44140625" style="146" customWidth="1"/>
    <col min="9471" max="9471" width="19.44140625" style="146" customWidth="1"/>
    <col min="9472" max="9478" width="0" style="146" hidden="1" customWidth="1"/>
    <col min="9479" max="9481" width="9.88671875" style="146" customWidth="1"/>
    <col min="9482" max="9482" width="12.33203125" style="146" customWidth="1"/>
    <col min="9483" max="9495" width="9.88671875" style="146" customWidth="1"/>
    <col min="9496" max="9721" width="14.44140625" style="146"/>
    <col min="9722" max="9722" width="6.6640625" style="146" customWidth="1"/>
    <col min="9723" max="9723" width="10.33203125" style="146" customWidth="1"/>
    <col min="9724" max="9724" width="36.6640625" style="146" customWidth="1"/>
    <col min="9725" max="9725" width="45.5546875" style="146" customWidth="1"/>
    <col min="9726" max="9726" width="23.44140625" style="146" customWidth="1"/>
    <col min="9727" max="9727" width="19.44140625" style="146" customWidth="1"/>
    <col min="9728" max="9734" width="0" style="146" hidden="1" customWidth="1"/>
    <col min="9735" max="9737" width="9.88671875" style="146" customWidth="1"/>
    <col min="9738" max="9738" width="12.33203125" style="146" customWidth="1"/>
    <col min="9739" max="9751" width="9.88671875" style="146" customWidth="1"/>
    <col min="9752" max="9977" width="14.44140625" style="146"/>
    <col min="9978" max="9978" width="6.6640625" style="146" customWidth="1"/>
    <col min="9979" max="9979" width="10.33203125" style="146" customWidth="1"/>
    <col min="9980" max="9980" width="36.6640625" style="146" customWidth="1"/>
    <col min="9981" max="9981" width="45.5546875" style="146" customWidth="1"/>
    <col min="9982" max="9982" width="23.44140625" style="146" customWidth="1"/>
    <col min="9983" max="9983" width="19.44140625" style="146" customWidth="1"/>
    <col min="9984" max="9990" width="0" style="146" hidden="1" customWidth="1"/>
    <col min="9991" max="9993" width="9.88671875" style="146" customWidth="1"/>
    <col min="9994" max="9994" width="12.33203125" style="146" customWidth="1"/>
    <col min="9995" max="10007" width="9.88671875" style="146" customWidth="1"/>
    <col min="10008" max="10233" width="14.44140625" style="146"/>
    <col min="10234" max="10234" width="6.6640625" style="146" customWidth="1"/>
    <col min="10235" max="10235" width="10.33203125" style="146" customWidth="1"/>
    <col min="10236" max="10236" width="36.6640625" style="146" customWidth="1"/>
    <col min="10237" max="10237" width="45.5546875" style="146" customWidth="1"/>
    <col min="10238" max="10238" width="23.44140625" style="146" customWidth="1"/>
    <col min="10239" max="10239" width="19.44140625" style="146" customWidth="1"/>
    <col min="10240" max="10246" width="0" style="146" hidden="1" customWidth="1"/>
    <col min="10247" max="10249" width="9.88671875" style="146" customWidth="1"/>
    <col min="10250" max="10250" width="12.33203125" style="146" customWidth="1"/>
    <col min="10251" max="10263" width="9.88671875" style="146" customWidth="1"/>
    <col min="10264" max="10489" width="14.44140625" style="146"/>
    <col min="10490" max="10490" width="6.6640625" style="146" customWidth="1"/>
    <col min="10491" max="10491" width="10.33203125" style="146" customWidth="1"/>
    <col min="10492" max="10492" width="36.6640625" style="146" customWidth="1"/>
    <col min="10493" max="10493" width="45.5546875" style="146" customWidth="1"/>
    <col min="10494" max="10494" width="23.44140625" style="146" customWidth="1"/>
    <col min="10495" max="10495" width="19.44140625" style="146" customWidth="1"/>
    <col min="10496" max="10502" width="0" style="146" hidden="1" customWidth="1"/>
    <col min="10503" max="10505" width="9.88671875" style="146" customWidth="1"/>
    <col min="10506" max="10506" width="12.33203125" style="146" customWidth="1"/>
    <col min="10507" max="10519" width="9.88671875" style="146" customWidth="1"/>
    <col min="10520" max="10745" width="14.44140625" style="146"/>
    <col min="10746" max="10746" width="6.6640625" style="146" customWidth="1"/>
    <col min="10747" max="10747" width="10.33203125" style="146" customWidth="1"/>
    <col min="10748" max="10748" width="36.6640625" style="146" customWidth="1"/>
    <col min="10749" max="10749" width="45.5546875" style="146" customWidth="1"/>
    <col min="10750" max="10750" width="23.44140625" style="146" customWidth="1"/>
    <col min="10751" max="10751" width="19.44140625" style="146" customWidth="1"/>
    <col min="10752" max="10758" width="0" style="146" hidden="1" customWidth="1"/>
    <col min="10759" max="10761" width="9.88671875" style="146" customWidth="1"/>
    <col min="10762" max="10762" width="12.33203125" style="146" customWidth="1"/>
    <col min="10763" max="10775" width="9.88671875" style="146" customWidth="1"/>
    <col min="10776" max="11001" width="14.44140625" style="146"/>
    <col min="11002" max="11002" width="6.6640625" style="146" customWidth="1"/>
    <col min="11003" max="11003" width="10.33203125" style="146" customWidth="1"/>
    <col min="11004" max="11004" width="36.6640625" style="146" customWidth="1"/>
    <col min="11005" max="11005" width="45.5546875" style="146" customWidth="1"/>
    <col min="11006" max="11006" width="23.44140625" style="146" customWidth="1"/>
    <col min="11007" max="11007" width="19.44140625" style="146" customWidth="1"/>
    <col min="11008" max="11014" width="0" style="146" hidden="1" customWidth="1"/>
    <col min="11015" max="11017" width="9.88671875" style="146" customWidth="1"/>
    <col min="11018" max="11018" width="12.33203125" style="146" customWidth="1"/>
    <col min="11019" max="11031" width="9.88671875" style="146" customWidth="1"/>
    <col min="11032" max="11257" width="14.44140625" style="146"/>
    <col min="11258" max="11258" width="6.6640625" style="146" customWidth="1"/>
    <col min="11259" max="11259" width="10.33203125" style="146" customWidth="1"/>
    <col min="11260" max="11260" width="36.6640625" style="146" customWidth="1"/>
    <col min="11261" max="11261" width="45.5546875" style="146" customWidth="1"/>
    <col min="11262" max="11262" width="23.44140625" style="146" customWidth="1"/>
    <col min="11263" max="11263" width="19.44140625" style="146" customWidth="1"/>
    <col min="11264" max="11270" width="0" style="146" hidden="1" customWidth="1"/>
    <col min="11271" max="11273" width="9.88671875" style="146" customWidth="1"/>
    <col min="11274" max="11274" width="12.33203125" style="146" customWidth="1"/>
    <col min="11275" max="11287" width="9.88671875" style="146" customWidth="1"/>
    <col min="11288" max="11513" width="14.44140625" style="146"/>
    <col min="11514" max="11514" width="6.6640625" style="146" customWidth="1"/>
    <col min="11515" max="11515" width="10.33203125" style="146" customWidth="1"/>
    <col min="11516" max="11516" width="36.6640625" style="146" customWidth="1"/>
    <col min="11517" max="11517" width="45.5546875" style="146" customWidth="1"/>
    <col min="11518" max="11518" width="23.44140625" style="146" customWidth="1"/>
    <col min="11519" max="11519" width="19.44140625" style="146" customWidth="1"/>
    <col min="11520" max="11526" width="0" style="146" hidden="1" customWidth="1"/>
    <col min="11527" max="11529" width="9.88671875" style="146" customWidth="1"/>
    <col min="11530" max="11530" width="12.33203125" style="146" customWidth="1"/>
    <col min="11531" max="11543" width="9.88671875" style="146" customWidth="1"/>
    <col min="11544" max="11769" width="14.44140625" style="146"/>
    <col min="11770" max="11770" width="6.6640625" style="146" customWidth="1"/>
    <col min="11771" max="11771" width="10.33203125" style="146" customWidth="1"/>
    <col min="11772" max="11772" width="36.6640625" style="146" customWidth="1"/>
    <col min="11773" max="11773" width="45.5546875" style="146" customWidth="1"/>
    <col min="11774" max="11774" width="23.44140625" style="146" customWidth="1"/>
    <col min="11775" max="11775" width="19.44140625" style="146" customWidth="1"/>
    <col min="11776" max="11782" width="0" style="146" hidden="1" customWidth="1"/>
    <col min="11783" max="11785" width="9.88671875" style="146" customWidth="1"/>
    <col min="11786" max="11786" width="12.33203125" style="146" customWidth="1"/>
    <col min="11787" max="11799" width="9.88671875" style="146" customWidth="1"/>
    <col min="11800" max="12025" width="14.44140625" style="146"/>
    <col min="12026" max="12026" width="6.6640625" style="146" customWidth="1"/>
    <col min="12027" max="12027" width="10.33203125" style="146" customWidth="1"/>
    <col min="12028" max="12028" width="36.6640625" style="146" customWidth="1"/>
    <col min="12029" max="12029" width="45.5546875" style="146" customWidth="1"/>
    <col min="12030" max="12030" width="23.44140625" style="146" customWidth="1"/>
    <col min="12031" max="12031" width="19.44140625" style="146" customWidth="1"/>
    <col min="12032" max="12038" width="0" style="146" hidden="1" customWidth="1"/>
    <col min="12039" max="12041" width="9.88671875" style="146" customWidth="1"/>
    <col min="12042" max="12042" width="12.33203125" style="146" customWidth="1"/>
    <col min="12043" max="12055" width="9.88671875" style="146" customWidth="1"/>
    <col min="12056" max="12281" width="14.44140625" style="146"/>
    <col min="12282" max="12282" width="6.6640625" style="146" customWidth="1"/>
    <col min="12283" max="12283" width="10.33203125" style="146" customWidth="1"/>
    <col min="12284" max="12284" width="36.6640625" style="146" customWidth="1"/>
    <col min="12285" max="12285" width="45.5546875" style="146" customWidth="1"/>
    <col min="12286" max="12286" width="23.44140625" style="146" customWidth="1"/>
    <col min="12287" max="12287" width="19.44140625" style="146" customWidth="1"/>
    <col min="12288" max="12294" width="0" style="146" hidden="1" customWidth="1"/>
    <col min="12295" max="12297" width="9.88671875" style="146" customWidth="1"/>
    <col min="12298" max="12298" width="12.33203125" style="146" customWidth="1"/>
    <col min="12299" max="12311" width="9.88671875" style="146" customWidth="1"/>
    <col min="12312" max="12537" width="14.44140625" style="146"/>
    <col min="12538" max="12538" width="6.6640625" style="146" customWidth="1"/>
    <col min="12539" max="12539" width="10.33203125" style="146" customWidth="1"/>
    <col min="12540" max="12540" width="36.6640625" style="146" customWidth="1"/>
    <col min="12541" max="12541" width="45.5546875" style="146" customWidth="1"/>
    <col min="12542" max="12542" width="23.44140625" style="146" customWidth="1"/>
    <col min="12543" max="12543" width="19.44140625" style="146" customWidth="1"/>
    <col min="12544" max="12550" width="0" style="146" hidden="1" customWidth="1"/>
    <col min="12551" max="12553" width="9.88671875" style="146" customWidth="1"/>
    <col min="12554" max="12554" width="12.33203125" style="146" customWidth="1"/>
    <col min="12555" max="12567" width="9.88671875" style="146" customWidth="1"/>
    <col min="12568" max="12793" width="14.44140625" style="146"/>
    <col min="12794" max="12794" width="6.6640625" style="146" customWidth="1"/>
    <col min="12795" max="12795" width="10.33203125" style="146" customWidth="1"/>
    <col min="12796" max="12796" width="36.6640625" style="146" customWidth="1"/>
    <col min="12797" max="12797" width="45.5546875" style="146" customWidth="1"/>
    <col min="12798" max="12798" width="23.44140625" style="146" customWidth="1"/>
    <col min="12799" max="12799" width="19.44140625" style="146" customWidth="1"/>
    <col min="12800" max="12806" width="0" style="146" hidden="1" customWidth="1"/>
    <col min="12807" max="12809" width="9.88671875" style="146" customWidth="1"/>
    <col min="12810" max="12810" width="12.33203125" style="146" customWidth="1"/>
    <col min="12811" max="12823" width="9.88671875" style="146" customWidth="1"/>
    <col min="12824" max="13049" width="14.44140625" style="146"/>
    <col min="13050" max="13050" width="6.6640625" style="146" customWidth="1"/>
    <col min="13051" max="13051" width="10.33203125" style="146" customWidth="1"/>
    <col min="13052" max="13052" width="36.6640625" style="146" customWidth="1"/>
    <col min="13053" max="13053" width="45.5546875" style="146" customWidth="1"/>
    <col min="13054" max="13054" width="23.44140625" style="146" customWidth="1"/>
    <col min="13055" max="13055" width="19.44140625" style="146" customWidth="1"/>
    <col min="13056" max="13062" width="0" style="146" hidden="1" customWidth="1"/>
    <col min="13063" max="13065" width="9.88671875" style="146" customWidth="1"/>
    <col min="13066" max="13066" width="12.33203125" style="146" customWidth="1"/>
    <col min="13067" max="13079" width="9.88671875" style="146" customWidth="1"/>
    <col min="13080" max="13305" width="14.44140625" style="146"/>
    <col min="13306" max="13306" width="6.6640625" style="146" customWidth="1"/>
    <col min="13307" max="13307" width="10.33203125" style="146" customWidth="1"/>
    <col min="13308" max="13308" width="36.6640625" style="146" customWidth="1"/>
    <col min="13309" max="13309" width="45.5546875" style="146" customWidth="1"/>
    <col min="13310" max="13310" width="23.44140625" style="146" customWidth="1"/>
    <col min="13311" max="13311" width="19.44140625" style="146" customWidth="1"/>
    <col min="13312" max="13318" width="0" style="146" hidden="1" customWidth="1"/>
    <col min="13319" max="13321" width="9.88671875" style="146" customWidth="1"/>
    <col min="13322" max="13322" width="12.33203125" style="146" customWidth="1"/>
    <col min="13323" max="13335" width="9.88671875" style="146" customWidth="1"/>
    <col min="13336" max="13561" width="14.44140625" style="146"/>
    <col min="13562" max="13562" width="6.6640625" style="146" customWidth="1"/>
    <col min="13563" max="13563" width="10.33203125" style="146" customWidth="1"/>
    <col min="13564" max="13564" width="36.6640625" style="146" customWidth="1"/>
    <col min="13565" max="13565" width="45.5546875" style="146" customWidth="1"/>
    <col min="13566" max="13566" width="23.44140625" style="146" customWidth="1"/>
    <col min="13567" max="13567" width="19.44140625" style="146" customWidth="1"/>
    <col min="13568" max="13574" width="0" style="146" hidden="1" customWidth="1"/>
    <col min="13575" max="13577" width="9.88671875" style="146" customWidth="1"/>
    <col min="13578" max="13578" width="12.33203125" style="146" customWidth="1"/>
    <col min="13579" max="13591" width="9.88671875" style="146" customWidth="1"/>
    <col min="13592" max="13817" width="14.44140625" style="146"/>
    <col min="13818" max="13818" width="6.6640625" style="146" customWidth="1"/>
    <col min="13819" max="13819" width="10.33203125" style="146" customWidth="1"/>
    <col min="13820" max="13820" width="36.6640625" style="146" customWidth="1"/>
    <col min="13821" max="13821" width="45.5546875" style="146" customWidth="1"/>
    <col min="13822" max="13822" width="23.44140625" style="146" customWidth="1"/>
    <col min="13823" max="13823" width="19.44140625" style="146" customWidth="1"/>
    <col min="13824" max="13830" width="0" style="146" hidden="1" customWidth="1"/>
    <col min="13831" max="13833" width="9.88671875" style="146" customWidth="1"/>
    <col min="13834" max="13834" width="12.33203125" style="146" customWidth="1"/>
    <col min="13835" max="13847" width="9.88671875" style="146" customWidth="1"/>
    <col min="13848" max="14073" width="14.44140625" style="146"/>
    <col min="14074" max="14074" width="6.6640625" style="146" customWidth="1"/>
    <col min="14075" max="14075" width="10.33203125" style="146" customWidth="1"/>
    <col min="14076" max="14076" width="36.6640625" style="146" customWidth="1"/>
    <col min="14077" max="14077" width="45.5546875" style="146" customWidth="1"/>
    <col min="14078" max="14078" width="23.44140625" style="146" customWidth="1"/>
    <col min="14079" max="14079" width="19.44140625" style="146" customWidth="1"/>
    <col min="14080" max="14086" width="0" style="146" hidden="1" customWidth="1"/>
    <col min="14087" max="14089" width="9.88671875" style="146" customWidth="1"/>
    <col min="14090" max="14090" width="12.33203125" style="146" customWidth="1"/>
    <col min="14091" max="14103" width="9.88671875" style="146" customWidth="1"/>
    <col min="14104" max="14329" width="14.44140625" style="146"/>
    <col min="14330" max="14330" width="6.6640625" style="146" customWidth="1"/>
    <col min="14331" max="14331" width="10.33203125" style="146" customWidth="1"/>
    <col min="14332" max="14332" width="36.6640625" style="146" customWidth="1"/>
    <col min="14333" max="14333" width="45.5546875" style="146" customWidth="1"/>
    <col min="14334" max="14334" width="23.44140625" style="146" customWidth="1"/>
    <col min="14335" max="14335" width="19.44140625" style="146" customWidth="1"/>
    <col min="14336" max="14342" width="0" style="146" hidden="1" customWidth="1"/>
    <col min="14343" max="14345" width="9.88671875" style="146" customWidth="1"/>
    <col min="14346" max="14346" width="12.33203125" style="146" customWidth="1"/>
    <col min="14347" max="14359" width="9.88671875" style="146" customWidth="1"/>
    <col min="14360" max="14585" width="14.44140625" style="146"/>
    <col min="14586" max="14586" width="6.6640625" style="146" customWidth="1"/>
    <col min="14587" max="14587" width="10.33203125" style="146" customWidth="1"/>
    <col min="14588" max="14588" width="36.6640625" style="146" customWidth="1"/>
    <col min="14589" max="14589" width="45.5546875" style="146" customWidth="1"/>
    <col min="14590" max="14590" width="23.44140625" style="146" customWidth="1"/>
    <col min="14591" max="14591" width="19.44140625" style="146" customWidth="1"/>
    <col min="14592" max="14598" width="0" style="146" hidden="1" customWidth="1"/>
    <col min="14599" max="14601" width="9.88671875" style="146" customWidth="1"/>
    <col min="14602" max="14602" width="12.33203125" style="146" customWidth="1"/>
    <col min="14603" max="14615" width="9.88671875" style="146" customWidth="1"/>
    <col min="14616" max="14841" width="14.44140625" style="146"/>
    <col min="14842" max="14842" width="6.6640625" style="146" customWidth="1"/>
    <col min="14843" max="14843" width="10.33203125" style="146" customWidth="1"/>
    <col min="14844" max="14844" width="36.6640625" style="146" customWidth="1"/>
    <col min="14845" max="14845" width="45.5546875" style="146" customWidth="1"/>
    <col min="14846" max="14846" width="23.44140625" style="146" customWidth="1"/>
    <col min="14847" max="14847" width="19.44140625" style="146" customWidth="1"/>
    <col min="14848" max="14854" width="0" style="146" hidden="1" customWidth="1"/>
    <col min="14855" max="14857" width="9.88671875" style="146" customWidth="1"/>
    <col min="14858" max="14858" width="12.33203125" style="146" customWidth="1"/>
    <col min="14859" max="14871" width="9.88671875" style="146" customWidth="1"/>
    <col min="14872" max="15097" width="14.44140625" style="146"/>
    <col min="15098" max="15098" width="6.6640625" style="146" customWidth="1"/>
    <col min="15099" max="15099" width="10.33203125" style="146" customWidth="1"/>
    <col min="15100" max="15100" width="36.6640625" style="146" customWidth="1"/>
    <col min="15101" max="15101" width="45.5546875" style="146" customWidth="1"/>
    <col min="15102" max="15102" width="23.44140625" style="146" customWidth="1"/>
    <col min="15103" max="15103" width="19.44140625" style="146" customWidth="1"/>
    <col min="15104" max="15110" width="0" style="146" hidden="1" customWidth="1"/>
    <col min="15111" max="15113" width="9.88671875" style="146" customWidth="1"/>
    <col min="15114" max="15114" width="12.33203125" style="146" customWidth="1"/>
    <col min="15115" max="15127" width="9.88671875" style="146" customWidth="1"/>
    <col min="15128" max="15353" width="14.44140625" style="146"/>
    <col min="15354" max="15354" width="6.6640625" style="146" customWidth="1"/>
    <col min="15355" max="15355" width="10.33203125" style="146" customWidth="1"/>
    <col min="15356" max="15356" width="36.6640625" style="146" customWidth="1"/>
    <col min="15357" max="15357" width="45.5546875" style="146" customWidth="1"/>
    <col min="15358" max="15358" width="23.44140625" style="146" customWidth="1"/>
    <col min="15359" max="15359" width="19.44140625" style="146" customWidth="1"/>
    <col min="15360" max="15366" width="0" style="146" hidden="1" customWidth="1"/>
    <col min="15367" max="15369" width="9.88671875" style="146" customWidth="1"/>
    <col min="15370" max="15370" width="12.33203125" style="146" customWidth="1"/>
    <col min="15371" max="15383" width="9.88671875" style="146" customWidth="1"/>
    <col min="15384" max="15609" width="14.44140625" style="146"/>
    <col min="15610" max="15610" width="6.6640625" style="146" customWidth="1"/>
    <col min="15611" max="15611" width="10.33203125" style="146" customWidth="1"/>
    <col min="15612" max="15612" width="36.6640625" style="146" customWidth="1"/>
    <col min="15613" max="15613" width="45.5546875" style="146" customWidth="1"/>
    <col min="15614" max="15614" width="23.44140625" style="146" customWidth="1"/>
    <col min="15615" max="15615" width="19.44140625" style="146" customWidth="1"/>
    <col min="15616" max="15622" width="0" style="146" hidden="1" customWidth="1"/>
    <col min="15623" max="15625" width="9.88671875" style="146" customWidth="1"/>
    <col min="15626" max="15626" width="12.33203125" style="146" customWidth="1"/>
    <col min="15627" max="15639" width="9.88671875" style="146" customWidth="1"/>
    <col min="15640" max="15865" width="14.44140625" style="146"/>
    <col min="15866" max="15866" width="6.6640625" style="146" customWidth="1"/>
    <col min="15867" max="15867" width="10.33203125" style="146" customWidth="1"/>
    <col min="15868" max="15868" width="36.6640625" style="146" customWidth="1"/>
    <col min="15869" max="15869" width="45.5546875" style="146" customWidth="1"/>
    <col min="15870" max="15870" width="23.44140625" style="146" customWidth="1"/>
    <col min="15871" max="15871" width="19.44140625" style="146" customWidth="1"/>
    <col min="15872" max="15878" width="0" style="146" hidden="1" customWidth="1"/>
    <col min="15879" max="15881" width="9.88671875" style="146" customWidth="1"/>
    <col min="15882" max="15882" width="12.33203125" style="146" customWidth="1"/>
    <col min="15883" max="15895" width="9.88671875" style="146" customWidth="1"/>
    <col min="15896" max="16121" width="14.44140625" style="146"/>
    <col min="16122" max="16122" width="6.6640625" style="146" customWidth="1"/>
    <col min="16123" max="16123" width="10.33203125" style="146" customWidth="1"/>
    <col min="16124" max="16124" width="36.6640625" style="146" customWidth="1"/>
    <col min="16125" max="16125" width="45.5546875" style="146" customWidth="1"/>
    <col min="16126" max="16126" width="23.44140625" style="146" customWidth="1"/>
    <col min="16127" max="16127" width="19.44140625" style="146" customWidth="1"/>
    <col min="16128" max="16134" width="0" style="146" hidden="1" customWidth="1"/>
    <col min="16135" max="16137" width="9.88671875" style="146" customWidth="1"/>
    <col min="16138" max="16138" width="12.33203125" style="146" customWidth="1"/>
    <col min="16139" max="16151" width="9.88671875" style="146" customWidth="1"/>
    <col min="16152" max="16384" width="14.44140625" style="146"/>
  </cols>
  <sheetData>
    <row r="1" spans="1:26" x14ac:dyDescent="0.3">
      <c r="H1" s="150" t="s">
        <v>401</v>
      </c>
      <c r="I1" s="442" t="s">
        <v>402</v>
      </c>
      <c r="J1" s="443"/>
      <c r="K1" s="443"/>
      <c r="L1" s="444"/>
      <c r="M1" s="442" t="s">
        <v>403</v>
      </c>
      <c r="N1" s="443"/>
      <c r="O1" s="443"/>
      <c r="P1" s="445"/>
      <c r="Q1" s="442" t="s">
        <v>404</v>
      </c>
      <c r="R1" s="443"/>
      <c r="S1" s="443"/>
      <c r="T1" s="445"/>
      <c r="U1" s="446" t="s">
        <v>405</v>
      </c>
      <c r="V1" s="443"/>
      <c r="W1" s="443"/>
      <c r="X1" s="445"/>
    </row>
    <row r="2" spans="1:26" ht="52.2" customHeight="1" x14ac:dyDescent="0.3">
      <c r="A2" s="151" t="s">
        <v>335</v>
      </c>
      <c r="B2" s="151" t="s">
        <v>479</v>
      </c>
      <c r="C2" s="151" t="s">
        <v>480</v>
      </c>
      <c r="D2" s="152" t="s">
        <v>481</v>
      </c>
      <c r="E2" s="153" t="s">
        <v>482</v>
      </c>
      <c r="F2" s="154" t="s">
        <v>483</v>
      </c>
      <c r="G2" s="155" t="s">
        <v>484</v>
      </c>
      <c r="H2" s="156" t="s">
        <v>485</v>
      </c>
      <c r="I2" s="157" t="s">
        <v>486</v>
      </c>
      <c r="J2" s="158" t="s">
        <v>487</v>
      </c>
      <c r="K2" s="158" t="s">
        <v>488</v>
      </c>
      <c r="L2" s="271" t="s">
        <v>485</v>
      </c>
      <c r="M2" s="157" t="s">
        <v>486</v>
      </c>
      <c r="N2" s="158" t="s">
        <v>487</v>
      </c>
      <c r="O2" s="158" t="s">
        <v>488</v>
      </c>
      <c r="P2" s="159" t="s">
        <v>485</v>
      </c>
      <c r="Q2" s="157" t="s">
        <v>486</v>
      </c>
      <c r="R2" s="158" t="s">
        <v>487</v>
      </c>
      <c r="S2" s="158" t="s">
        <v>488</v>
      </c>
      <c r="T2" s="159" t="s">
        <v>485</v>
      </c>
      <c r="U2" s="308" t="s">
        <v>486</v>
      </c>
      <c r="V2" s="158" t="s">
        <v>487</v>
      </c>
      <c r="W2" s="158" t="s">
        <v>488</v>
      </c>
      <c r="X2" s="271" t="s">
        <v>485</v>
      </c>
      <c r="Y2" s="185"/>
    </row>
    <row r="3" spans="1:26" s="168" customFormat="1" ht="11.4" x14ac:dyDescent="0.2">
      <c r="A3" s="160">
        <v>1</v>
      </c>
      <c r="B3" s="160">
        <v>2</v>
      </c>
      <c r="C3" s="161">
        <v>3</v>
      </c>
      <c r="D3" s="161">
        <v>4</v>
      </c>
      <c r="E3" s="160">
        <v>5</v>
      </c>
      <c r="F3" s="162">
        <v>6</v>
      </c>
      <c r="G3" s="163">
        <v>13</v>
      </c>
      <c r="H3" s="164"/>
      <c r="I3" s="165"/>
      <c r="J3" s="166"/>
      <c r="K3" s="166"/>
      <c r="L3" s="272"/>
      <c r="M3" s="165"/>
      <c r="N3" s="166"/>
      <c r="O3" s="166"/>
      <c r="P3" s="167"/>
      <c r="Q3" s="165"/>
      <c r="R3" s="166"/>
      <c r="S3" s="166"/>
      <c r="T3" s="167"/>
      <c r="U3" s="309"/>
      <c r="V3" s="166"/>
      <c r="W3" s="166"/>
      <c r="X3" s="272"/>
      <c r="Y3" s="166"/>
    </row>
    <row r="4" spans="1:26" s="168" customFormat="1" ht="40.200000000000003" customHeight="1" x14ac:dyDescent="0.2">
      <c r="A4" s="160"/>
      <c r="B4" s="160"/>
      <c r="C4" s="151" t="s">
        <v>283</v>
      </c>
      <c r="D4" s="169" t="s">
        <v>820</v>
      </c>
      <c r="E4" s="170">
        <f>SUM(E5:E13)</f>
        <v>14864574.800000001</v>
      </c>
      <c r="F4" s="171"/>
      <c r="G4" s="172"/>
      <c r="H4" s="164"/>
      <c r="I4" s="165"/>
      <c r="J4" s="166"/>
      <c r="K4" s="166"/>
      <c r="L4" s="272"/>
      <c r="M4" s="165"/>
      <c r="N4" s="166"/>
      <c r="O4" s="166"/>
      <c r="P4" s="167"/>
      <c r="Q4" s="165"/>
      <c r="R4" s="166"/>
      <c r="S4" s="166"/>
      <c r="T4" s="167"/>
      <c r="U4" s="309"/>
      <c r="V4" s="166"/>
      <c r="W4" s="166"/>
      <c r="X4" s="272"/>
      <c r="Y4" s="166"/>
    </row>
    <row r="5" spans="1:26" ht="65.400000000000006" customHeight="1" x14ac:dyDescent="0.3">
      <c r="A5" s="173">
        <v>1</v>
      </c>
      <c r="B5" s="173">
        <v>1</v>
      </c>
      <c r="C5" s="174" t="s">
        <v>489</v>
      </c>
      <c r="D5" s="175" t="s">
        <v>490</v>
      </c>
      <c r="E5" s="176">
        <v>3276487</v>
      </c>
      <c r="F5" s="232" t="s">
        <v>274</v>
      </c>
      <c r="G5" s="180"/>
      <c r="H5" s="181"/>
      <c r="I5" s="182"/>
      <c r="J5" s="183"/>
      <c r="K5" s="183"/>
      <c r="L5" s="209"/>
      <c r="M5" s="189"/>
      <c r="N5" s="183"/>
      <c r="O5" s="183"/>
      <c r="P5" s="266"/>
      <c r="Q5" s="225"/>
      <c r="R5" s="185"/>
      <c r="S5" s="185"/>
      <c r="T5" s="186"/>
      <c r="U5" s="298"/>
      <c r="V5" s="185"/>
      <c r="W5" s="185"/>
      <c r="X5" s="230"/>
      <c r="Y5" s="185"/>
    </row>
    <row r="6" spans="1:26" ht="46.8" x14ac:dyDescent="0.3">
      <c r="A6" s="173">
        <v>2</v>
      </c>
      <c r="B6" s="173">
        <v>2</v>
      </c>
      <c r="C6" s="174" t="s">
        <v>492</v>
      </c>
      <c r="D6" s="175" t="s">
        <v>493</v>
      </c>
      <c r="E6" s="176">
        <v>1809493.7</v>
      </c>
      <c r="F6" s="232" t="s">
        <v>274</v>
      </c>
      <c r="G6" s="180"/>
      <c r="H6" s="181"/>
      <c r="I6" s="182"/>
      <c r="J6" s="183"/>
      <c r="K6" s="183"/>
      <c r="L6" s="209"/>
      <c r="M6" s="189"/>
      <c r="N6" s="183"/>
      <c r="O6" s="183"/>
      <c r="P6" s="266"/>
      <c r="Q6" s="225"/>
      <c r="R6" s="185"/>
      <c r="S6" s="185"/>
      <c r="T6" s="186"/>
      <c r="U6" s="298"/>
      <c r="V6" s="185"/>
      <c r="W6" s="185"/>
      <c r="X6" s="230"/>
      <c r="Y6" s="185"/>
    </row>
    <row r="7" spans="1:26" x14ac:dyDescent="0.3">
      <c r="A7" s="173">
        <v>3</v>
      </c>
      <c r="B7" s="173">
        <v>3</v>
      </c>
      <c r="C7" s="174" t="s">
        <v>494</v>
      </c>
      <c r="D7" s="187" t="s">
        <v>495</v>
      </c>
      <c r="E7" s="176">
        <v>225568.25</v>
      </c>
      <c r="F7" s="232" t="s">
        <v>274</v>
      </c>
      <c r="G7" s="180"/>
      <c r="H7" s="181"/>
      <c r="I7" s="182"/>
      <c r="J7" s="183"/>
      <c r="K7" s="183"/>
      <c r="L7" s="209"/>
      <c r="M7" s="189"/>
      <c r="N7" s="183"/>
      <c r="O7" s="183"/>
      <c r="P7" s="266"/>
      <c r="Q7" s="225"/>
      <c r="R7" s="185"/>
      <c r="S7" s="185"/>
      <c r="T7" s="186"/>
      <c r="U7" s="298"/>
      <c r="V7" s="185"/>
      <c r="W7" s="185"/>
      <c r="X7" s="230"/>
      <c r="Y7" s="185"/>
    </row>
    <row r="8" spans="1:26" x14ac:dyDescent="0.3">
      <c r="A8" s="173">
        <v>4</v>
      </c>
      <c r="B8" s="173">
        <v>4</v>
      </c>
      <c r="C8" s="174" t="s">
        <v>496</v>
      </c>
      <c r="D8" s="187" t="s">
        <v>497</v>
      </c>
      <c r="E8" s="176">
        <v>230845.54</v>
      </c>
      <c r="F8" s="232" t="s">
        <v>274</v>
      </c>
      <c r="G8" s="180"/>
      <c r="H8" s="181"/>
      <c r="I8" s="182"/>
      <c r="J8" s="183"/>
      <c r="K8" s="183"/>
      <c r="L8" s="209"/>
      <c r="M8" s="189"/>
      <c r="N8" s="183"/>
      <c r="O8" s="183"/>
      <c r="P8" s="266"/>
      <c r="Q8" s="225"/>
      <c r="R8" s="185"/>
      <c r="S8" s="185"/>
      <c r="T8" s="186"/>
      <c r="U8" s="298"/>
      <c r="V8" s="185"/>
      <c r="W8" s="185"/>
      <c r="X8" s="230"/>
      <c r="Y8" s="185"/>
    </row>
    <row r="9" spans="1:26" ht="46.5" customHeight="1" x14ac:dyDescent="0.3">
      <c r="A9" s="357">
        <v>5</v>
      </c>
      <c r="B9" s="173">
        <v>5</v>
      </c>
      <c r="C9" s="174" t="s">
        <v>498</v>
      </c>
      <c r="D9" s="188" t="s">
        <v>499</v>
      </c>
      <c r="E9" s="176">
        <f>E7*6</f>
        <v>1353409.5</v>
      </c>
      <c r="F9" s="177" t="s">
        <v>771</v>
      </c>
      <c r="G9" s="180"/>
      <c r="H9" s="181"/>
      <c r="I9" s="182"/>
      <c r="J9" s="185" t="s">
        <v>748</v>
      </c>
      <c r="K9" s="183"/>
      <c r="L9" s="209"/>
      <c r="M9" s="183"/>
      <c r="N9" s="183"/>
      <c r="O9" s="183"/>
      <c r="P9" s="183"/>
      <c r="Q9" s="183"/>
      <c r="R9" s="183"/>
      <c r="S9" s="185"/>
      <c r="T9" s="230"/>
      <c r="U9" s="326"/>
      <c r="V9" s="185"/>
      <c r="W9" s="185"/>
      <c r="X9" s="230"/>
      <c r="Y9" s="185"/>
      <c r="Z9" s="440"/>
    </row>
    <row r="10" spans="1:26" ht="62.4" x14ac:dyDescent="0.3">
      <c r="A10" s="357">
        <v>6</v>
      </c>
      <c r="B10" s="173">
        <v>6</v>
      </c>
      <c r="C10" s="174" t="s">
        <v>500</v>
      </c>
      <c r="D10" s="175" t="s">
        <v>501</v>
      </c>
      <c r="E10" s="176">
        <f>E8*14</f>
        <v>3231837.56</v>
      </c>
      <c r="F10" s="177" t="s">
        <v>771</v>
      </c>
      <c r="G10" s="180"/>
      <c r="H10" s="181"/>
      <c r="I10" s="182"/>
      <c r="J10" s="185"/>
      <c r="K10" s="183"/>
      <c r="L10" s="209"/>
      <c r="M10" s="183"/>
      <c r="N10" s="183"/>
      <c r="O10" s="183"/>
      <c r="P10" s="183"/>
      <c r="Q10" s="183"/>
      <c r="R10" s="183"/>
      <c r="S10" s="185"/>
      <c r="T10" s="230"/>
      <c r="U10" s="326"/>
      <c r="V10" s="185"/>
      <c r="W10" s="185"/>
      <c r="X10" s="230"/>
      <c r="Y10" s="185"/>
      <c r="Z10" s="440"/>
    </row>
    <row r="11" spans="1:26" ht="97.8" customHeight="1" x14ac:dyDescent="0.3">
      <c r="A11" s="357">
        <v>7</v>
      </c>
      <c r="B11" s="357">
        <v>7</v>
      </c>
      <c r="C11" s="358" t="s">
        <v>502</v>
      </c>
      <c r="D11" s="175" t="s">
        <v>1096</v>
      </c>
      <c r="E11" s="176">
        <f>E7*6</f>
        <v>1353409.5</v>
      </c>
      <c r="F11" s="177" t="s">
        <v>771</v>
      </c>
      <c r="G11" s="180"/>
      <c r="H11" s="181"/>
      <c r="I11" s="182"/>
      <c r="J11" s="185"/>
      <c r="K11" s="183"/>
      <c r="L11" s="209"/>
      <c r="M11" s="183"/>
      <c r="N11" s="183"/>
      <c r="O11" s="183"/>
      <c r="P11" s="183"/>
      <c r="Q11" s="183"/>
      <c r="R11" s="365"/>
      <c r="S11" s="185"/>
      <c r="T11" s="230"/>
      <c r="U11" s="363"/>
      <c r="V11" s="185"/>
      <c r="W11" s="185"/>
      <c r="X11" s="230"/>
      <c r="Y11" s="185"/>
      <c r="Z11" s="440"/>
    </row>
    <row r="12" spans="1:26" ht="108.6" customHeight="1" x14ac:dyDescent="0.3">
      <c r="A12" s="357">
        <v>8</v>
      </c>
      <c r="B12" s="357">
        <v>8</v>
      </c>
      <c r="C12" s="358" t="s">
        <v>503</v>
      </c>
      <c r="D12" s="364" t="s">
        <v>1097</v>
      </c>
      <c r="E12" s="176">
        <f>E7*11</f>
        <v>2481250.75</v>
      </c>
      <c r="F12" s="177" t="s">
        <v>771</v>
      </c>
      <c r="G12" s="180"/>
      <c r="H12" s="181"/>
      <c r="I12" s="182"/>
      <c r="J12" s="185"/>
      <c r="K12" s="185"/>
      <c r="L12" s="209"/>
      <c r="M12" s="183"/>
      <c r="N12" s="183"/>
      <c r="O12" s="183"/>
      <c r="P12" s="183"/>
      <c r="Q12" s="183"/>
      <c r="R12" s="365"/>
      <c r="S12" s="185"/>
      <c r="T12" s="230"/>
      <c r="U12" s="363"/>
      <c r="V12" s="185"/>
      <c r="W12" s="185"/>
      <c r="X12" s="230"/>
      <c r="Y12" s="185"/>
      <c r="Z12" s="440"/>
    </row>
    <row r="13" spans="1:26" ht="50.4" customHeight="1" x14ac:dyDescent="0.3">
      <c r="A13" s="357">
        <v>9</v>
      </c>
      <c r="B13" s="359">
        <v>9</v>
      </c>
      <c r="C13" s="358" t="s">
        <v>504</v>
      </c>
      <c r="D13" s="364" t="s">
        <v>1098</v>
      </c>
      <c r="E13" s="176">
        <f>E7*4</f>
        <v>902273</v>
      </c>
      <c r="F13" s="177" t="s">
        <v>771</v>
      </c>
      <c r="G13" s="180"/>
      <c r="H13" s="181"/>
      <c r="I13" s="182"/>
      <c r="J13" s="185"/>
      <c r="K13" s="185"/>
      <c r="L13" s="230"/>
      <c r="M13" s="183"/>
      <c r="N13" s="183"/>
      <c r="O13" s="183"/>
      <c r="P13" s="183"/>
      <c r="Q13" s="183"/>
      <c r="R13" s="365"/>
      <c r="S13" s="185"/>
      <c r="T13" s="230"/>
      <c r="U13" s="363"/>
      <c r="V13" s="185"/>
      <c r="W13" s="185"/>
      <c r="X13" s="230"/>
      <c r="Y13" s="185"/>
      <c r="Z13" s="440"/>
    </row>
    <row r="14" spans="1:26" ht="52.2" customHeight="1" x14ac:dyDescent="0.3">
      <c r="A14" s="357">
        <v>10</v>
      </c>
      <c r="B14" s="195">
        <v>10</v>
      </c>
      <c r="C14" s="289" t="s">
        <v>783</v>
      </c>
      <c r="D14" s="187" t="s">
        <v>784</v>
      </c>
      <c r="E14" s="176" t="s">
        <v>785</v>
      </c>
      <c r="F14" s="177" t="s">
        <v>771</v>
      </c>
      <c r="G14" s="180"/>
      <c r="H14" s="181"/>
      <c r="I14" s="182"/>
      <c r="J14" s="185"/>
      <c r="K14" s="185"/>
      <c r="L14" s="230"/>
      <c r="M14" s="183"/>
      <c r="N14" s="183"/>
      <c r="O14" s="183"/>
      <c r="P14" s="183"/>
      <c r="Q14" s="183"/>
      <c r="R14" s="183"/>
      <c r="S14" s="185"/>
      <c r="T14" s="230"/>
      <c r="U14" s="326"/>
      <c r="V14" s="185"/>
      <c r="W14" s="185"/>
      <c r="X14" s="230"/>
      <c r="Y14" s="185"/>
      <c r="Z14" s="328"/>
    </row>
    <row r="15" spans="1:26" ht="52.2" customHeight="1" x14ac:dyDescent="0.3">
      <c r="A15" s="367"/>
      <c r="B15" s="368" t="s">
        <v>479</v>
      </c>
      <c r="C15" s="368" t="s">
        <v>283</v>
      </c>
      <c r="D15" s="369" t="s">
        <v>534</v>
      </c>
      <c r="E15" s="370">
        <f>SUM(E16:E22)</f>
        <v>37049532.950000003</v>
      </c>
      <c r="F15" s="371"/>
      <c r="G15" s="372"/>
      <c r="H15" s="373"/>
      <c r="I15" s="374"/>
      <c r="J15" s="371"/>
      <c r="K15" s="371"/>
      <c r="L15" s="375"/>
      <c r="M15" s="374"/>
      <c r="N15" s="371"/>
      <c r="O15" s="371"/>
      <c r="P15" s="376"/>
      <c r="Q15" s="374"/>
      <c r="R15" s="371"/>
      <c r="S15" s="371"/>
      <c r="T15" s="376"/>
      <c r="U15" s="377"/>
      <c r="V15" s="371"/>
      <c r="W15" s="371"/>
      <c r="X15" s="375"/>
      <c r="Y15" s="371"/>
      <c r="Z15" s="328"/>
    </row>
    <row r="16" spans="1:26" ht="52.2" customHeight="1" x14ac:dyDescent="0.3">
      <c r="A16" s="173">
        <v>11</v>
      </c>
      <c r="B16" s="226">
        <v>1</v>
      </c>
      <c r="C16" s="226" t="s">
        <v>128</v>
      </c>
      <c r="D16" s="250" t="s">
        <v>535</v>
      </c>
      <c r="E16" s="231">
        <v>4252563.92</v>
      </c>
      <c r="F16" s="232" t="s">
        <v>274</v>
      </c>
      <c r="G16" s="198" t="s">
        <v>536</v>
      </c>
      <c r="H16" s="181"/>
      <c r="I16" s="182"/>
      <c r="J16" s="185"/>
      <c r="K16" s="219"/>
      <c r="L16" s="304"/>
      <c r="M16" s="182"/>
      <c r="N16" s="185"/>
      <c r="O16" s="185"/>
      <c r="P16" s="186"/>
      <c r="Q16" s="182"/>
      <c r="R16" s="185"/>
      <c r="S16" s="185"/>
      <c r="T16" s="186"/>
      <c r="U16" s="298"/>
      <c r="V16" s="185"/>
      <c r="W16" s="185"/>
      <c r="X16" s="230"/>
      <c r="Y16" s="185"/>
      <c r="Z16" s="328"/>
    </row>
    <row r="17" spans="1:26" ht="52.2" customHeight="1" x14ac:dyDescent="0.3">
      <c r="A17" s="173">
        <v>12</v>
      </c>
      <c r="B17" s="195">
        <v>2</v>
      </c>
      <c r="C17" s="196" t="s">
        <v>19</v>
      </c>
      <c r="D17" s="187" t="s">
        <v>537</v>
      </c>
      <c r="E17" s="176">
        <v>10059763.77</v>
      </c>
      <c r="F17" s="177" t="s">
        <v>771</v>
      </c>
      <c r="G17" s="180"/>
      <c r="H17" s="181"/>
      <c r="I17" s="182"/>
      <c r="J17" s="185"/>
      <c r="K17" s="185"/>
      <c r="L17" s="366" t="s">
        <v>751</v>
      </c>
      <c r="M17" s="189"/>
      <c r="N17" s="183"/>
      <c r="O17" s="183"/>
      <c r="P17" s="184"/>
      <c r="Q17" s="189"/>
      <c r="R17" s="183"/>
      <c r="S17" s="185"/>
      <c r="T17" s="186"/>
      <c r="U17" s="326"/>
      <c r="V17" s="185"/>
      <c r="W17" s="185"/>
      <c r="X17" s="230"/>
      <c r="Y17" s="185"/>
      <c r="Z17" s="328"/>
    </row>
    <row r="18" spans="1:26" ht="52.2" customHeight="1" x14ac:dyDescent="0.3">
      <c r="A18" s="173">
        <v>13</v>
      </c>
      <c r="B18" s="195">
        <v>3</v>
      </c>
      <c r="C18" s="196" t="s">
        <v>28</v>
      </c>
      <c r="D18" s="187" t="s">
        <v>538</v>
      </c>
      <c r="E18" s="176">
        <v>8671662.9100000001</v>
      </c>
      <c r="F18" s="177" t="s">
        <v>491</v>
      </c>
      <c r="G18" s="180"/>
      <c r="H18" s="181"/>
      <c r="I18" s="182"/>
      <c r="J18" s="185"/>
      <c r="K18" s="185"/>
      <c r="L18" s="230"/>
      <c r="M18" s="189"/>
      <c r="N18" s="183"/>
      <c r="O18" s="183"/>
      <c r="P18" s="184"/>
      <c r="Q18" s="189"/>
      <c r="R18" s="299"/>
      <c r="S18" s="185"/>
      <c r="T18" s="186"/>
      <c r="U18" s="326"/>
      <c r="V18" s="185"/>
      <c r="W18" s="185"/>
      <c r="X18" s="230"/>
      <c r="Y18" s="185"/>
      <c r="Z18" s="328"/>
    </row>
    <row r="19" spans="1:26" ht="52.2" customHeight="1" x14ac:dyDescent="0.3">
      <c r="A19" s="357">
        <v>14</v>
      </c>
      <c r="B19" s="221">
        <v>4</v>
      </c>
      <c r="C19" s="220" t="s">
        <v>30</v>
      </c>
      <c r="D19" s="222" t="s">
        <v>539</v>
      </c>
      <c r="E19" s="231">
        <v>9681438.4800000004</v>
      </c>
      <c r="F19" s="232" t="s">
        <v>274</v>
      </c>
      <c r="G19" s="180"/>
      <c r="H19" s="181"/>
      <c r="I19" s="182"/>
      <c r="J19" s="185"/>
      <c r="K19" s="185"/>
      <c r="L19" s="230"/>
      <c r="M19" s="225"/>
      <c r="N19" s="219"/>
      <c r="O19" s="219"/>
      <c r="P19" s="266"/>
      <c r="Q19" s="225"/>
      <c r="R19" s="310"/>
      <c r="S19" s="185"/>
      <c r="T19" s="186"/>
      <c r="U19" s="360"/>
      <c r="V19" s="185"/>
      <c r="W19" s="185"/>
      <c r="X19" s="230"/>
      <c r="Y19" s="185"/>
      <c r="Z19" s="328"/>
    </row>
    <row r="20" spans="1:26" ht="52.2" customHeight="1" x14ac:dyDescent="0.3">
      <c r="A20" s="357">
        <v>15</v>
      </c>
      <c r="B20" s="195">
        <v>5</v>
      </c>
      <c r="C20" s="196" t="s">
        <v>61</v>
      </c>
      <c r="D20" s="187" t="s">
        <v>61</v>
      </c>
      <c r="E20" s="176" t="s">
        <v>540</v>
      </c>
      <c r="F20" s="177" t="s">
        <v>491</v>
      </c>
      <c r="G20" s="180"/>
      <c r="H20" s="181"/>
      <c r="I20" s="182"/>
      <c r="J20" s="185"/>
      <c r="K20" s="185"/>
      <c r="L20" s="230"/>
      <c r="M20" s="189"/>
      <c r="N20" s="183"/>
      <c r="O20" s="183"/>
      <c r="P20" s="184"/>
      <c r="Q20" s="189"/>
      <c r="R20" s="299"/>
      <c r="S20" s="185"/>
      <c r="T20" s="186"/>
      <c r="U20" s="326"/>
      <c r="V20" s="185"/>
      <c r="W20" s="185"/>
      <c r="X20" s="230"/>
      <c r="Y20" s="185"/>
      <c r="Z20" s="328"/>
    </row>
    <row r="21" spans="1:26" ht="52.2" customHeight="1" x14ac:dyDescent="0.3">
      <c r="A21" s="357">
        <v>16</v>
      </c>
      <c r="B21" s="195">
        <v>6</v>
      </c>
      <c r="C21" s="196" t="s">
        <v>541</v>
      </c>
      <c r="D21" s="187" t="s">
        <v>542</v>
      </c>
      <c r="E21" s="176">
        <v>4384103.87</v>
      </c>
      <c r="F21" s="177" t="s">
        <v>491</v>
      </c>
      <c r="G21" s="180"/>
      <c r="H21" s="181"/>
      <c r="I21" s="182"/>
      <c r="J21" s="185"/>
      <c r="K21" s="185"/>
      <c r="L21" s="230"/>
      <c r="M21" s="189"/>
      <c r="N21" s="183"/>
      <c r="O21" s="183"/>
      <c r="P21" s="184"/>
      <c r="Q21" s="189"/>
      <c r="R21" s="299"/>
      <c r="S21" s="185"/>
      <c r="T21" s="186"/>
      <c r="U21" s="326"/>
      <c r="V21" s="185"/>
      <c r="W21" s="185"/>
      <c r="X21" s="230"/>
      <c r="Y21" s="185"/>
      <c r="Z21" s="328"/>
    </row>
    <row r="22" spans="1:26" ht="52.2" customHeight="1" x14ac:dyDescent="0.3">
      <c r="A22" s="357">
        <v>17</v>
      </c>
      <c r="B22" s="195">
        <v>7</v>
      </c>
      <c r="C22" s="196" t="s">
        <v>543</v>
      </c>
      <c r="D22" s="187" t="s">
        <v>544</v>
      </c>
      <c r="E22" s="176" t="s">
        <v>545</v>
      </c>
      <c r="F22" s="177" t="s">
        <v>491</v>
      </c>
      <c r="G22" s="180"/>
      <c r="H22" s="181"/>
      <c r="I22" s="182"/>
      <c r="J22" s="185"/>
      <c r="K22" s="185"/>
      <c r="L22" s="230"/>
      <c r="M22" s="189"/>
      <c r="N22" s="183"/>
      <c r="O22" s="183"/>
      <c r="P22" s="184"/>
      <c r="Q22" s="189"/>
      <c r="R22" s="183"/>
      <c r="S22" s="185"/>
      <c r="T22" s="186"/>
      <c r="U22" s="326"/>
      <c r="V22" s="185"/>
      <c r="W22" s="185"/>
      <c r="X22" s="230"/>
      <c r="Y22" s="185"/>
      <c r="Z22" s="328"/>
    </row>
    <row r="23" spans="1:26" ht="38.25" customHeight="1" x14ac:dyDescent="0.3">
      <c r="A23" s="367"/>
      <c r="B23" s="368" t="s">
        <v>479</v>
      </c>
      <c r="C23" s="368" t="s">
        <v>283</v>
      </c>
      <c r="D23" s="369" t="s">
        <v>821</v>
      </c>
      <c r="E23" s="370">
        <v>9150209.9600000009</v>
      </c>
      <c r="F23" s="378"/>
      <c r="G23" s="372"/>
      <c r="H23" s="373"/>
      <c r="I23" s="374"/>
      <c r="J23" s="371"/>
      <c r="K23" s="371"/>
      <c r="L23" s="375"/>
      <c r="M23" s="374"/>
      <c r="N23" s="371"/>
      <c r="O23" s="371"/>
      <c r="P23" s="376"/>
      <c r="Q23" s="374"/>
      <c r="R23" s="371"/>
      <c r="S23" s="371"/>
      <c r="T23" s="376"/>
      <c r="U23" s="377"/>
      <c r="V23" s="371"/>
      <c r="W23" s="371"/>
      <c r="X23" s="375"/>
      <c r="Y23" s="371"/>
    </row>
    <row r="24" spans="1:26" ht="30" customHeight="1" x14ac:dyDescent="0.3">
      <c r="A24" s="173">
        <v>18</v>
      </c>
      <c r="B24" s="221">
        <v>1</v>
      </c>
      <c r="C24" s="220" t="s">
        <v>505</v>
      </c>
      <c r="D24" s="222" t="s">
        <v>506</v>
      </c>
      <c r="E24" s="450">
        <v>9150209.9600000009</v>
      </c>
      <c r="F24" s="232" t="s">
        <v>274</v>
      </c>
      <c r="G24" s="180"/>
      <c r="H24" s="224"/>
      <c r="I24" s="182"/>
      <c r="J24" s="185"/>
      <c r="K24" s="185"/>
      <c r="L24" s="230"/>
      <c r="M24" s="182"/>
      <c r="N24" s="354"/>
      <c r="O24" s="354"/>
      <c r="P24" s="186"/>
      <c r="Q24" s="182"/>
      <c r="R24" s="185"/>
      <c r="S24" s="185"/>
      <c r="T24" s="186"/>
      <c r="U24" s="298"/>
      <c r="V24" s="185"/>
      <c r="W24" s="185"/>
      <c r="X24" s="230"/>
      <c r="Y24" s="185"/>
    </row>
    <row r="25" spans="1:26" ht="30" customHeight="1" x14ac:dyDescent="0.3">
      <c r="A25" s="173">
        <v>19</v>
      </c>
      <c r="B25" s="221">
        <v>2</v>
      </c>
      <c r="C25" s="220" t="s">
        <v>507</v>
      </c>
      <c r="D25" s="222" t="s">
        <v>508</v>
      </c>
      <c r="E25" s="451"/>
      <c r="F25" s="232" t="s">
        <v>274</v>
      </c>
      <c r="G25" s="180"/>
      <c r="H25" s="224"/>
      <c r="I25" s="182"/>
      <c r="J25" s="185"/>
      <c r="K25" s="185"/>
      <c r="L25" s="230"/>
      <c r="M25" s="182"/>
      <c r="N25" s="354"/>
      <c r="O25" s="354"/>
      <c r="P25" s="186"/>
      <c r="Q25" s="182"/>
      <c r="R25" s="185"/>
      <c r="S25" s="185"/>
      <c r="T25" s="186"/>
      <c r="U25" s="298"/>
      <c r="V25" s="185"/>
      <c r="W25" s="185"/>
      <c r="X25" s="230"/>
      <c r="Y25" s="185"/>
    </row>
    <row r="26" spans="1:26" ht="30" customHeight="1" x14ac:dyDescent="0.3">
      <c r="A26" s="357">
        <v>20</v>
      </c>
      <c r="B26" s="221">
        <v>3</v>
      </c>
      <c r="C26" s="220" t="s">
        <v>509</v>
      </c>
      <c r="D26" s="222" t="s">
        <v>510</v>
      </c>
      <c r="E26" s="451"/>
      <c r="F26" s="232" t="s">
        <v>274</v>
      </c>
      <c r="G26" s="180"/>
      <c r="H26" s="224"/>
      <c r="I26" s="182"/>
      <c r="J26" s="185"/>
      <c r="K26" s="185"/>
      <c r="L26" s="230"/>
      <c r="M26" s="182"/>
      <c r="N26" s="354"/>
      <c r="O26" s="354"/>
      <c r="P26" s="186"/>
      <c r="Q26" s="182"/>
      <c r="R26" s="185"/>
      <c r="S26" s="185"/>
      <c r="T26" s="186"/>
      <c r="U26" s="298"/>
      <c r="V26" s="185"/>
      <c r="W26" s="185"/>
      <c r="X26" s="230"/>
      <c r="Y26" s="185"/>
    </row>
    <row r="27" spans="1:26" ht="30" customHeight="1" x14ac:dyDescent="0.3">
      <c r="A27" s="357">
        <v>21</v>
      </c>
      <c r="B27" s="221">
        <v>4</v>
      </c>
      <c r="C27" s="220" t="s">
        <v>511</v>
      </c>
      <c r="D27" s="222" t="s">
        <v>512</v>
      </c>
      <c r="E27" s="451"/>
      <c r="F27" s="232" t="s">
        <v>274</v>
      </c>
      <c r="G27" s="180"/>
      <c r="H27" s="224"/>
      <c r="I27" s="182"/>
      <c r="J27" s="185"/>
      <c r="K27" s="185"/>
      <c r="L27" s="230"/>
      <c r="M27" s="182"/>
      <c r="N27" s="354"/>
      <c r="O27" s="354"/>
      <c r="P27" s="186"/>
      <c r="Q27" s="182"/>
      <c r="R27" s="185"/>
      <c r="S27" s="185"/>
      <c r="T27" s="186"/>
      <c r="U27" s="298"/>
      <c r="V27" s="185"/>
      <c r="W27" s="185"/>
      <c r="X27" s="230"/>
      <c r="Y27" s="185"/>
    </row>
    <row r="28" spans="1:26" ht="51.6" customHeight="1" x14ac:dyDescent="0.3">
      <c r="A28" s="357">
        <v>22</v>
      </c>
      <c r="B28" s="221">
        <v>5</v>
      </c>
      <c r="C28" s="220" t="s">
        <v>513</v>
      </c>
      <c r="D28" s="267" t="s">
        <v>514</v>
      </c>
      <c r="E28" s="451"/>
      <c r="F28" s="232" t="s">
        <v>274</v>
      </c>
      <c r="G28" s="180"/>
      <c r="H28" s="233"/>
      <c r="I28" s="182"/>
      <c r="J28" s="185"/>
      <c r="K28" s="185"/>
      <c r="L28" s="230"/>
      <c r="M28" s="182"/>
      <c r="N28" s="354"/>
      <c r="O28" s="354"/>
      <c r="P28" s="186"/>
      <c r="Q28" s="182"/>
      <c r="R28" s="185"/>
      <c r="S28" s="185"/>
      <c r="T28" s="186"/>
      <c r="U28" s="298"/>
      <c r="V28" s="185"/>
      <c r="W28" s="185"/>
      <c r="X28" s="230"/>
      <c r="Y28" s="185"/>
    </row>
    <row r="29" spans="1:26" x14ac:dyDescent="0.3">
      <c r="A29" s="357">
        <v>23</v>
      </c>
      <c r="B29" s="453">
        <v>6</v>
      </c>
      <c r="C29" s="454" t="s">
        <v>515</v>
      </c>
      <c r="D29" s="197" t="s">
        <v>516</v>
      </c>
      <c r="E29" s="451"/>
      <c r="F29" s="177" t="s">
        <v>491</v>
      </c>
      <c r="G29" s="180"/>
      <c r="H29" s="181"/>
      <c r="I29" s="182"/>
      <c r="J29" s="185"/>
      <c r="K29" s="185"/>
      <c r="L29" s="230"/>
      <c r="M29" s="182"/>
      <c r="N29" s="185"/>
      <c r="O29" s="185"/>
      <c r="P29" s="184"/>
      <c r="Q29" s="189"/>
      <c r="R29" s="183"/>
      <c r="S29" s="183"/>
      <c r="T29" s="209"/>
      <c r="U29" s="185"/>
      <c r="V29" s="326"/>
      <c r="W29" s="185"/>
      <c r="X29" s="230"/>
      <c r="Y29" s="185"/>
      <c r="Z29" s="328"/>
    </row>
    <row r="30" spans="1:26" x14ac:dyDescent="0.3">
      <c r="A30" s="357">
        <v>24</v>
      </c>
      <c r="B30" s="453"/>
      <c r="C30" s="448"/>
      <c r="D30" s="197" t="s">
        <v>517</v>
      </c>
      <c r="E30" s="451"/>
      <c r="F30" s="177" t="s">
        <v>491</v>
      </c>
      <c r="G30" s="180"/>
      <c r="H30" s="181"/>
      <c r="I30" s="182"/>
      <c r="J30" s="185"/>
      <c r="K30" s="185"/>
      <c r="L30" s="230"/>
      <c r="M30" s="182"/>
      <c r="N30" s="185"/>
      <c r="O30" s="185"/>
      <c r="P30" s="184"/>
      <c r="Q30" s="189"/>
      <c r="R30" s="183"/>
      <c r="S30" s="183"/>
      <c r="T30" s="209"/>
      <c r="U30" s="185"/>
      <c r="V30" s="326"/>
      <c r="W30" s="185"/>
      <c r="X30" s="230"/>
      <c r="Y30" s="185"/>
      <c r="Z30" s="328"/>
    </row>
    <row r="31" spans="1:26" x14ac:dyDescent="0.3">
      <c r="A31" s="357">
        <v>25</v>
      </c>
      <c r="B31" s="221">
        <v>7</v>
      </c>
      <c r="C31" s="220" t="s">
        <v>518</v>
      </c>
      <c r="D31" s="223" t="s">
        <v>519</v>
      </c>
      <c r="E31" s="451"/>
      <c r="F31" s="232" t="s">
        <v>274</v>
      </c>
      <c r="G31" s="180"/>
      <c r="H31" s="219"/>
      <c r="I31" s="182"/>
      <c r="J31" s="185"/>
      <c r="K31" s="185"/>
      <c r="L31" s="230"/>
      <c r="M31" s="182"/>
      <c r="N31" s="185"/>
      <c r="O31" s="185"/>
      <c r="P31" s="186"/>
      <c r="Q31" s="182"/>
      <c r="R31" s="185"/>
      <c r="S31" s="185"/>
      <c r="T31" s="230"/>
      <c r="U31" s="185"/>
      <c r="V31" s="298"/>
      <c r="W31" s="185"/>
      <c r="X31" s="230"/>
      <c r="Y31" s="185"/>
    </row>
    <row r="32" spans="1:26" ht="31.2" x14ac:dyDescent="0.3">
      <c r="A32" s="357">
        <v>26</v>
      </c>
      <c r="B32" s="195">
        <v>8</v>
      </c>
      <c r="C32" s="196" t="s">
        <v>520</v>
      </c>
      <c r="D32" s="188" t="s">
        <v>521</v>
      </c>
      <c r="E32" s="452"/>
      <c r="F32" s="177" t="s">
        <v>491</v>
      </c>
      <c r="G32" s="180"/>
      <c r="H32" s="181"/>
      <c r="I32" s="182"/>
      <c r="J32" s="185"/>
      <c r="K32" s="185"/>
      <c r="L32" s="230"/>
      <c r="M32" s="182"/>
      <c r="N32" s="185"/>
      <c r="O32" s="185"/>
      <c r="P32" s="184"/>
      <c r="Q32" s="189"/>
      <c r="R32" s="183"/>
      <c r="S32" s="183"/>
      <c r="T32" s="209"/>
      <c r="U32" s="185"/>
      <c r="V32" s="326"/>
      <c r="W32" s="185"/>
      <c r="X32" s="230"/>
      <c r="Y32" s="185"/>
      <c r="Z32" s="328"/>
    </row>
    <row r="33" spans="1:25" ht="33" customHeight="1" x14ac:dyDescent="0.3">
      <c r="A33" s="367"/>
      <c r="B33" s="368" t="s">
        <v>479</v>
      </c>
      <c r="C33" s="368" t="s">
        <v>283</v>
      </c>
      <c r="D33" s="369" t="s">
        <v>838</v>
      </c>
      <c r="E33" s="370">
        <f>SUM(E34:E38)</f>
        <v>9580292.5500000007</v>
      </c>
      <c r="F33" s="269"/>
      <c r="G33" s="372"/>
      <c r="H33" s="373"/>
      <c r="I33" s="374"/>
      <c r="J33" s="371"/>
      <c r="K33" s="371"/>
      <c r="L33" s="375"/>
      <c r="M33" s="374"/>
      <c r="N33" s="371"/>
      <c r="O33" s="371"/>
      <c r="P33" s="376"/>
      <c r="Q33" s="374"/>
      <c r="R33" s="371"/>
      <c r="S33" s="371"/>
      <c r="T33" s="376"/>
      <c r="U33" s="377"/>
      <c r="V33" s="371"/>
      <c r="W33" s="371"/>
      <c r="X33" s="375"/>
      <c r="Y33" s="371"/>
    </row>
    <row r="34" spans="1:25" ht="15" customHeight="1" x14ac:dyDescent="0.3">
      <c r="A34" s="173">
        <v>27</v>
      </c>
      <c r="B34" s="221">
        <v>1</v>
      </c>
      <c r="C34" s="220" t="s">
        <v>522</v>
      </c>
      <c r="D34" s="222" t="s">
        <v>523</v>
      </c>
      <c r="E34" s="231">
        <v>4174750.62</v>
      </c>
      <c r="F34" s="232" t="s">
        <v>274</v>
      </c>
      <c r="G34" s="180"/>
      <c r="H34" s="181"/>
      <c r="I34" s="182"/>
      <c r="J34" s="185"/>
      <c r="K34" s="219" t="s">
        <v>710</v>
      </c>
      <c r="L34" s="361"/>
      <c r="M34" s="182"/>
      <c r="N34" s="185"/>
      <c r="O34" s="185"/>
      <c r="P34" s="186"/>
      <c r="Q34" s="182"/>
      <c r="R34" s="185"/>
      <c r="S34" s="185"/>
      <c r="T34" s="186"/>
      <c r="U34" s="298"/>
      <c r="V34" s="185"/>
      <c r="W34" s="185"/>
      <c r="X34" s="230"/>
      <c r="Y34" s="185"/>
    </row>
    <row r="35" spans="1:25" x14ac:dyDescent="0.3">
      <c r="A35" s="173">
        <v>28</v>
      </c>
      <c r="B35" s="221">
        <v>2</v>
      </c>
      <c r="C35" s="220" t="s">
        <v>524</v>
      </c>
      <c r="D35" s="222" t="s">
        <v>525</v>
      </c>
      <c r="E35" s="231" t="s">
        <v>526</v>
      </c>
      <c r="F35" s="232" t="s">
        <v>274</v>
      </c>
      <c r="G35" s="180"/>
      <c r="H35" s="181"/>
      <c r="I35" s="182"/>
      <c r="J35" s="185"/>
      <c r="K35" s="219" t="s">
        <v>710</v>
      </c>
      <c r="L35" s="361"/>
      <c r="M35" s="182"/>
      <c r="N35" s="185"/>
      <c r="O35" s="185"/>
      <c r="P35" s="186"/>
      <c r="Q35" s="182"/>
      <c r="R35" s="185"/>
      <c r="S35" s="185"/>
      <c r="T35" s="186"/>
      <c r="U35" s="298"/>
      <c r="V35" s="185"/>
      <c r="W35" s="185"/>
      <c r="X35" s="230"/>
      <c r="Y35" s="185"/>
    </row>
    <row r="36" spans="1:25" x14ac:dyDescent="0.3">
      <c r="A36" s="173">
        <v>29</v>
      </c>
      <c r="B36" s="221">
        <v>3</v>
      </c>
      <c r="C36" s="220" t="s">
        <v>527</v>
      </c>
      <c r="D36" s="222" t="s">
        <v>528</v>
      </c>
      <c r="E36" s="231">
        <v>1842750.8</v>
      </c>
      <c r="F36" s="232" t="s">
        <v>274</v>
      </c>
      <c r="G36" s="180"/>
      <c r="H36" s="181"/>
      <c r="I36" s="182"/>
      <c r="J36" s="185"/>
      <c r="K36" s="219" t="s">
        <v>710</v>
      </c>
      <c r="L36" s="361"/>
      <c r="M36" s="182"/>
      <c r="N36" s="185"/>
      <c r="O36" s="185"/>
      <c r="P36" s="186"/>
      <c r="Q36" s="182"/>
      <c r="R36" s="185"/>
      <c r="S36" s="185"/>
      <c r="T36" s="186"/>
      <c r="U36" s="298"/>
      <c r="V36" s="185"/>
      <c r="W36" s="185"/>
      <c r="X36" s="230"/>
      <c r="Y36" s="185"/>
    </row>
    <row r="37" spans="1:25" ht="21.6" customHeight="1" x14ac:dyDescent="0.3">
      <c r="A37" s="357">
        <v>30</v>
      </c>
      <c r="B37" s="221">
        <v>4</v>
      </c>
      <c r="C37" s="220" t="s">
        <v>529</v>
      </c>
      <c r="D37" s="222" t="s">
        <v>530</v>
      </c>
      <c r="E37" s="231" t="s">
        <v>531</v>
      </c>
      <c r="F37" s="232" t="s">
        <v>274</v>
      </c>
      <c r="G37" s="180"/>
      <c r="H37" s="181"/>
      <c r="I37" s="182"/>
      <c r="J37" s="185"/>
      <c r="K37" s="219" t="s">
        <v>710</v>
      </c>
      <c r="L37" s="361"/>
      <c r="M37" s="182"/>
      <c r="N37" s="185"/>
      <c r="O37" s="185"/>
      <c r="P37" s="186"/>
      <c r="Q37" s="182"/>
      <c r="R37" s="185"/>
      <c r="S37" s="185"/>
      <c r="T37" s="186"/>
      <c r="U37" s="298"/>
      <c r="V37" s="185"/>
      <c r="W37" s="185"/>
      <c r="X37" s="230"/>
      <c r="Y37" s="185"/>
    </row>
    <row r="38" spans="1:25" ht="24" customHeight="1" x14ac:dyDescent="0.3">
      <c r="A38" s="357">
        <v>31</v>
      </c>
      <c r="B38" s="221">
        <v>5</v>
      </c>
      <c r="C38" s="220" t="s">
        <v>532</v>
      </c>
      <c r="D38" s="222" t="s">
        <v>533</v>
      </c>
      <c r="E38" s="231">
        <v>3562791.13</v>
      </c>
      <c r="F38" s="232" t="s">
        <v>274</v>
      </c>
      <c r="G38" s="180"/>
      <c r="H38" s="181"/>
      <c r="I38" s="182"/>
      <c r="J38" s="185"/>
      <c r="K38" s="219" t="s">
        <v>710</v>
      </c>
      <c r="L38" s="361"/>
      <c r="M38" s="182"/>
      <c r="N38" s="185"/>
      <c r="O38" s="185"/>
      <c r="P38" s="186"/>
      <c r="Q38" s="182"/>
      <c r="R38" s="185"/>
      <c r="S38" s="185"/>
      <c r="T38" s="186"/>
      <c r="U38" s="298"/>
      <c r="V38" s="185"/>
      <c r="W38" s="185"/>
      <c r="X38" s="230"/>
      <c r="Y38" s="185"/>
    </row>
    <row r="39" spans="1:25" ht="33" customHeight="1" x14ac:dyDescent="0.3">
      <c r="A39" s="367"/>
      <c r="B39" s="190" t="s">
        <v>479</v>
      </c>
      <c r="C39" s="190" t="s">
        <v>283</v>
      </c>
      <c r="D39" s="191" t="s">
        <v>690</v>
      </c>
      <c r="E39" s="192" t="s">
        <v>839</v>
      </c>
      <c r="F39" s="348"/>
      <c r="G39" s="180"/>
      <c r="H39" s="181"/>
      <c r="I39" s="182"/>
      <c r="J39" s="185"/>
      <c r="K39" s="354"/>
      <c r="L39" s="361"/>
      <c r="M39" s="182"/>
      <c r="N39" s="185"/>
      <c r="O39" s="185"/>
      <c r="P39" s="186"/>
      <c r="Q39" s="182"/>
      <c r="R39" s="185"/>
      <c r="S39" s="185"/>
      <c r="T39" s="186"/>
      <c r="U39" s="298"/>
      <c r="V39" s="185"/>
      <c r="W39" s="185"/>
      <c r="X39" s="230"/>
      <c r="Y39" s="185"/>
    </row>
    <row r="40" spans="1:25" ht="24" customHeight="1" x14ac:dyDescent="0.3">
      <c r="A40" s="173">
        <v>32</v>
      </c>
      <c r="B40" s="190">
        <v>1</v>
      </c>
      <c r="C40" s="319" t="s">
        <v>895</v>
      </c>
      <c r="D40" s="191"/>
      <c r="E40" s="192"/>
      <c r="F40" s="232"/>
      <c r="G40" s="180"/>
      <c r="H40" s="181"/>
      <c r="I40" s="182"/>
      <c r="J40" s="185"/>
      <c r="K40" s="219"/>
      <c r="L40" s="304"/>
      <c r="M40" s="182"/>
      <c r="N40" s="185"/>
      <c r="O40" s="185"/>
      <c r="P40" s="186"/>
      <c r="Q40" s="182"/>
      <c r="R40" s="185"/>
      <c r="S40" s="320"/>
      <c r="T40" s="324"/>
      <c r="U40" s="322"/>
      <c r="V40" s="320"/>
      <c r="W40" s="320"/>
      <c r="X40" s="321"/>
      <c r="Y40" s="357" t="s">
        <v>1100</v>
      </c>
    </row>
    <row r="41" spans="1:25" ht="24" customHeight="1" x14ac:dyDescent="0.3">
      <c r="A41" s="173">
        <v>32</v>
      </c>
      <c r="B41" s="190">
        <v>2</v>
      </c>
      <c r="C41" s="319" t="s">
        <v>845</v>
      </c>
      <c r="D41" s="191"/>
      <c r="E41" s="192"/>
      <c r="F41" s="232"/>
      <c r="G41" s="180"/>
      <c r="H41" s="181"/>
      <c r="I41" s="182"/>
      <c r="J41" s="185"/>
      <c r="K41" s="219"/>
      <c r="L41" s="304"/>
      <c r="M41" s="182"/>
      <c r="N41" s="185"/>
      <c r="O41" s="185"/>
      <c r="P41" s="186"/>
      <c r="Q41" s="182"/>
      <c r="R41" s="185"/>
      <c r="S41" s="320"/>
      <c r="T41" s="324"/>
      <c r="U41" s="322"/>
      <c r="V41" s="320"/>
      <c r="W41" s="320"/>
      <c r="X41" s="321"/>
      <c r="Y41" s="185" t="s">
        <v>1101</v>
      </c>
    </row>
    <row r="42" spans="1:25" ht="24" customHeight="1" x14ac:dyDescent="0.3">
      <c r="A42" s="357">
        <v>32</v>
      </c>
      <c r="B42" s="190">
        <v>3</v>
      </c>
      <c r="C42" s="319" t="s">
        <v>846</v>
      </c>
      <c r="D42" s="191"/>
      <c r="E42" s="192"/>
      <c r="F42" s="232"/>
      <c r="G42" s="180"/>
      <c r="H42" s="181"/>
      <c r="I42" s="182"/>
      <c r="J42" s="185"/>
      <c r="K42" s="219"/>
      <c r="L42" s="304"/>
      <c r="M42" s="182"/>
      <c r="N42" s="185"/>
      <c r="O42" s="185"/>
      <c r="P42" s="186"/>
      <c r="Q42" s="182"/>
      <c r="R42" s="185"/>
      <c r="S42" s="320"/>
      <c r="T42" s="324"/>
      <c r="U42" s="322"/>
      <c r="V42" s="320"/>
      <c r="W42" s="320"/>
      <c r="X42" s="321"/>
      <c r="Y42" s="185" t="s">
        <v>1101</v>
      </c>
    </row>
    <row r="43" spans="1:25" ht="24" customHeight="1" x14ac:dyDescent="0.3">
      <c r="A43" s="357">
        <v>32</v>
      </c>
      <c r="B43" s="190">
        <v>4</v>
      </c>
      <c r="C43" s="319" t="s">
        <v>847</v>
      </c>
      <c r="D43" s="191"/>
      <c r="E43" s="192"/>
      <c r="F43" s="232"/>
      <c r="G43" s="180"/>
      <c r="H43" s="181"/>
      <c r="I43" s="182"/>
      <c r="J43" s="185"/>
      <c r="K43" s="219"/>
      <c r="L43" s="304"/>
      <c r="M43" s="182"/>
      <c r="N43" s="185"/>
      <c r="O43" s="185"/>
      <c r="P43" s="186"/>
      <c r="Q43" s="182"/>
      <c r="R43" s="185"/>
      <c r="S43" s="320"/>
      <c r="T43" s="324"/>
      <c r="U43" s="322"/>
      <c r="V43" s="320"/>
      <c r="W43" s="320"/>
      <c r="X43" s="321"/>
      <c r="Y43" s="185" t="s">
        <v>1101</v>
      </c>
    </row>
    <row r="44" spans="1:25" ht="24" customHeight="1" x14ac:dyDescent="0.3">
      <c r="A44" s="357">
        <v>32</v>
      </c>
      <c r="B44" s="190">
        <v>5</v>
      </c>
      <c r="C44" s="319" t="s">
        <v>848</v>
      </c>
      <c r="D44" s="191"/>
      <c r="E44" s="192"/>
      <c r="F44" s="232"/>
      <c r="G44" s="180"/>
      <c r="H44" s="181"/>
      <c r="I44" s="182"/>
      <c r="J44" s="185"/>
      <c r="K44" s="219"/>
      <c r="L44" s="304"/>
      <c r="M44" s="182"/>
      <c r="N44" s="185"/>
      <c r="O44" s="185"/>
      <c r="P44" s="186"/>
      <c r="Q44" s="182"/>
      <c r="R44" s="185"/>
      <c r="S44" s="320"/>
      <c r="T44" s="324"/>
      <c r="U44" s="322"/>
      <c r="V44" s="320"/>
      <c r="W44" s="320"/>
      <c r="X44" s="321"/>
      <c r="Y44" s="185" t="s">
        <v>1101</v>
      </c>
    </row>
    <row r="45" spans="1:25" ht="24" customHeight="1" x14ac:dyDescent="0.3">
      <c r="A45" s="357">
        <v>32</v>
      </c>
      <c r="B45" s="190">
        <v>6</v>
      </c>
      <c r="C45" s="319" t="s">
        <v>849</v>
      </c>
      <c r="D45" s="191"/>
      <c r="E45" s="192"/>
      <c r="F45" s="232"/>
      <c r="G45" s="180"/>
      <c r="H45" s="181"/>
      <c r="I45" s="182"/>
      <c r="J45" s="185"/>
      <c r="K45" s="219"/>
      <c r="L45" s="304"/>
      <c r="M45" s="182"/>
      <c r="N45" s="185"/>
      <c r="O45" s="185"/>
      <c r="P45" s="186"/>
      <c r="Q45" s="182"/>
      <c r="R45" s="185"/>
      <c r="S45" s="320"/>
      <c r="T45" s="324"/>
      <c r="U45" s="322"/>
      <c r="V45" s="320"/>
      <c r="W45" s="320"/>
      <c r="X45" s="321"/>
      <c r="Y45" s="185" t="s">
        <v>1101</v>
      </c>
    </row>
    <row r="46" spans="1:25" ht="24" customHeight="1" x14ac:dyDescent="0.3">
      <c r="A46" s="357">
        <v>32</v>
      </c>
      <c r="B46" s="190">
        <v>7</v>
      </c>
      <c r="C46" s="319" t="s">
        <v>850</v>
      </c>
      <c r="D46" s="191"/>
      <c r="E46" s="192"/>
      <c r="F46" s="232"/>
      <c r="G46" s="180"/>
      <c r="H46" s="181"/>
      <c r="I46" s="182"/>
      <c r="J46" s="185"/>
      <c r="K46" s="219"/>
      <c r="L46" s="304"/>
      <c r="M46" s="182"/>
      <c r="N46" s="185"/>
      <c r="O46" s="185"/>
      <c r="P46" s="186"/>
      <c r="Q46" s="182"/>
      <c r="R46" s="185"/>
      <c r="S46" s="320"/>
      <c r="T46" s="324"/>
      <c r="U46" s="322"/>
      <c r="V46" s="320"/>
      <c r="W46" s="320"/>
      <c r="X46" s="321"/>
      <c r="Y46" s="185" t="s">
        <v>1101</v>
      </c>
    </row>
    <row r="47" spans="1:25" ht="24" customHeight="1" x14ac:dyDescent="0.3">
      <c r="A47" s="357">
        <v>32</v>
      </c>
      <c r="B47" s="190">
        <v>8</v>
      </c>
      <c r="C47" s="319" t="s">
        <v>851</v>
      </c>
      <c r="D47" s="191"/>
      <c r="E47" s="192"/>
      <c r="F47" s="232"/>
      <c r="G47" s="180"/>
      <c r="H47" s="181"/>
      <c r="I47" s="182"/>
      <c r="J47" s="185"/>
      <c r="K47" s="219"/>
      <c r="L47" s="304"/>
      <c r="M47" s="182"/>
      <c r="N47" s="185"/>
      <c r="O47" s="185"/>
      <c r="P47" s="186"/>
      <c r="Q47" s="182"/>
      <c r="R47" s="185"/>
      <c r="S47" s="320"/>
      <c r="T47" s="324"/>
      <c r="U47" s="322"/>
      <c r="V47" s="320"/>
      <c r="W47" s="320"/>
      <c r="X47" s="321"/>
      <c r="Y47" s="185" t="s">
        <v>1101</v>
      </c>
    </row>
    <row r="48" spans="1:25" ht="24" customHeight="1" x14ac:dyDescent="0.3">
      <c r="A48" s="357">
        <v>32</v>
      </c>
      <c r="B48" s="190">
        <v>9</v>
      </c>
      <c r="C48" s="319" t="s">
        <v>852</v>
      </c>
      <c r="D48" s="191"/>
      <c r="E48" s="192"/>
      <c r="F48" s="232"/>
      <c r="G48" s="180"/>
      <c r="H48" s="181"/>
      <c r="I48" s="182"/>
      <c r="J48" s="185"/>
      <c r="K48" s="219"/>
      <c r="L48" s="304"/>
      <c r="M48" s="182"/>
      <c r="N48" s="185"/>
      <c r="O48" s="185"/>
      <c r="P48" s="186"/>
      <c r="Q48" s="182"/>
      <c r="R48" s="185"/>
      <c r="S48" s="320"/>
      <c r="T48" s="324"/>
      <c r="U48" s="322"/>
      <c r="V48" s="320"/>
      <c r="W48" s="320"/>
      <c r="X48" s="321"/>
      <c r="Y48" s="185" t="s">
        <v>1101</v>
      </c>
    </row>
    <row r="49" spans="1:25" ht="24" customHeight="1" x14ac:dyDescent="0.3">
      <c r="A49" s="357">
        <v>32</v>
      </c>
      <c r="B49" s="190">
        <v>10</v>
      </c>
      <c r="C49" s="319" t="s">
        <v>853</v>
      </c>
      <c r="D49" s="191"/>
      <c r="E49" s="192"/>
      <c r="F49" s="232"/>
      <c r="G49" s="180"/>
      <c r="H49" s="181"/>
      <c r="I49" s="182"/>
      <c r="J49" s="185"/>
      <c r="K49" s="219"/>
      <c r="L49" s="304"/>
      <c r="M49" s="182"/>
      <c r="N49" s="185"/>
      <c r="O49" s="185"/>
      <c r="P49" s="186"/>
      <c r="Q49" s="182"/>
      <c r="R49" s="185"/>
      <c r="S49" s="320"/>
      <c r="T49" s="324"/>
      <c r="U49" s="322"/>
      <c r="V49" s="320"/>
      <c r="W49" s="320"/>
      <c r="X49" s="321"/>
      <c r="Y49" s="185" t="s">
        <v>1101</v>
      </c>
    </row>
    <row r="50" spans="1:25" ht="24" customHeight="1" x14ac:dyDescent="0.3">
      <c r="A50" s="357">
        <v>32</v>
      </c>
      <c r="B50" s="190">
        <v>11</v>
      </c>
      <c r="C50" s="319" t="s">
        <v>854</v>
      </c>
      <c r="D50" s="191"/>
      <c r="E50" s="192"/>
      <c r="F50" s="232"/>
      <c r="G50" s="180"/>
      <c r="H50" s="181"/>
      <c r="I50" s="182"/>
      <c r="J50" s="185"/>
      <c r="K50" s="219"/>
      <c r="L50" s="304"/>
      <c r="M50" s="182"/>
      <c r="N50" s="185"/>
      <c r="O50" s="185"/>
      <c r="P50" s="186"/>
      <c r="Q50" s="182"/>
      <c r="R50" s="185"/>
      <c r="S50" s="320"/>
      <c r="T50" s="324"/>
      <c r="U50" s="322"/>
      <c r="V50" s="320"/>
      <c r="W50" s="320"/>
      <c r="X50" s="321"/>
      <c r="Y50" s="185" t="s">
        <v>1101</v>
      </c>
    </row>
    <row r="51" spans="1:25" ht="24" customHeight="1" x14ac:dyDescent="0.3">
      <c r="A51" s="357">
        <v>32</v>
      </c>
      <c r="B51" s="190">
        <v>12</v>
      </c>
      <c r="C51" s="319" t="s">
        <v>855</v>
      </c>
      <c r="D51" s="191"/>
      <c r="E51" s="192"/>
      <c r="F51" s="232"/>
      <c r="G51" s="180"/>
      <c r="H51" s="181"/>
      <c r="I51" s="182"/>
      <c r="J51" s="185"/>
      <c r="K51" s="219"/>
      <c r="L51" s="304"/>
      <c r="M51" s="182"/>
      <c r="N51" s="185"/>
      <c r="O51" s="185"/>
      <c r="P51" s="186"/>
      <c r="Q51" s="182"/>
      <c r="R51" s="185"/>
      <c r="S51" s="320"/>
      <c r="T51" s="324"/>
      <c r="U51" s="322"/>
      <c r="V51" s="320"/>
      <c r="W51" s="320"/>
      <c r="X51" s="321"/>
      <c r="Y51" s="185" t="s">
        <v>1101</v>
      </c>
    </row>
    <row r="52" spans="1:25" ht="24" customHeight="1" x14ac:dyDescent="0.3">
      <c r="A52" s="357">
        <v>32</v>
      </c>
      <c r="B52" s="190">
        <v>13</v>
      </c>
      <c r="C52" s="319" t="s">
        <v>856</v>
      </c>
      <c r="D52" s="191"/>
      <c r="E52" s="192"/>
      <c r="F52" s="232"/>
      <c r="G52" s="180"/>
      <c r="H52" s="181"/>
      <c r="I52" s="182"/>
      <c r="J52" s="185"/>
      <c r="K52" s="219"/>
      <c r="L52" s="304"/>
      <c r="M52" s="182"/>
      <c r="N52" s="185"/>
      <c r="O52" s="185"/>
      <c r="P52" s="186"/>
      <c r="Q52" s="182"/>
      <c r="R52" s="185"/>
      <c r="S52" s="320"/>
      <c r="T52" s="324"/>
      <c r="U52" s="322"/>
      <c r="V52" s="320"/>
      <c r="W52" s="320"/>
      <c r="X52" s="321"/>
      <c r="Y52" s="185" t="s">
        <v>1101</v>
      </c>
    </row>
    <row r="53" spans="1:25" ht="24" customHeight="1" x14ac:dyDescent="0.3">
      <c r="A53" s="357">
        <v>32</v>
      </c>
      <c r="B53" s="190">
        <v>14</v>
      </c>
      <c r="C53" s="319" t="s">
        <v>857</v>
      </c>
      <c r="D53" s="191"/>
      <c r="E53" s="192"/>
      <c r="F53" s="232"/>
      <c r="G53" s="180"/>
      <c r="H53" s="181"/>
      <c r="I53" s="182"/>
      <c r="J53" s="185"/>
      <c r="K53" s="219"/>
      <c r="L53" s="304"/>
      <c r="M53" s="182"/>
      <c r="N53" s="185"/>
      <c r="O53" s="185"/>
      <c r="P53" s="186"/>
      <c r="Q53" s="182"/>
      <c r="R53" s="185"/>
      <c r="S53" s="320"/>
      <c r="T53" s="324"/>
      <c r="U53" s="322"/>
      <c r="V53" s="320"/>
      <c r="W53" s="320"/>
      <c r="X53" s="321"/>
      <c r="Y53" s="185" t="s">
        <v>1101</v>
      </c>
    </row>
    <row r="54" spans="1:25" ht="24" customHeight="1" x14ac:dyDescent="0.3">
      <c r="A54" s="357">
        <v>32</v>
      </c>
      <c r="B54" s="190">
        <v>15</v>
      </c>
      <c r="C54" s="319" t="s">
        <v>858</v>
      </c>
      <c r="D54" s="191"/>
      <c r="E54" s="192"/>
      <c r="F54" s="232"/>
      <c r="G54" s="180"/>
      <c r="H54" s="181"/>
      <c r="I54" s="182"/>
      <c r="J54" s="185"/>
      <c r="K54" s="219"/>
      <c r="L54" s="304"/>
      <c r="M54" s="182"/>
      <c r="N54" s="185"/>
      <c r="O54" s="185"/>
      <c r="P54" s="186"/>
      <c r="Q54" s="182"/>
      <c r="R54" s="185"/>
      <c r="S54" s="320"/>
      <c r="T54" s="324"/>
      <c r="U54" s="322"/>
      <c r="V54" s="320"/>
      <c r="W54" s="320"/>
      <c r="X54" s="321"/>
      <c r="Y54" s="185" t="s">
        <v>1101</v>
      </c>
    </row>
    <row r="55" spans="1:25" ht="24" customHeight="1" x14ac:dyDescent="0.3">
      <c r="A55" s="357">
        <v>32</v>
      </c>
      <c r="B55" s="190">
        <v>16</v>
      </c>
      <c r="C55" s="319" t="s">
        <v>859</v>
      </c>
      <c r="D55" s="191"/>
      <c r="E55" s="192"/>
      <c r="F55" s="232"/>
      <c r="G55" s="180"/>
      <c r="H55" s="181"/>
      <c r="I55" s="182"/>
      <c r="J55" s="185"/>
      <c r="K55" s="219"/>
      <c r="L55" s="304"/>
      <c r="M55" s="182"/>
      <c r="N55" s="185"/>
      <c r="O55" s="185"/>
      <c r="P55" s="186"/>
      <c r="Q55" s="182"/>
      <c r="R55" s="185"/>
      <c r="S55" s="320"/>
      <c r="T55" s="324"/>
      <c r="U55" s="322"/>
      <c r="V55" s="320"/>
      <c r="W55" s="320"/>
      <c r="X55" s="321"/>
      <c r="Y55" s="185" t="s">
        <v>1101</v>
      </c>
    </row>
    <row r="56" spans="1:25" ht="37.799999999999997" customHeight="1" x14ac:dyDescent="0.3">
      <c r="A56" s="357">
        <v>32</v>
      </c>
      <c r="B56" s="190">
        <v>17</v>
      </c>
      <c r="C56" s="319" t="s">
        <v>860</v>
      </c>
      <c r="D56" s="191"/>
      <c r="E56" s="192"/>
      <c r="F56" s="232"/>
      <c r="G56" s="180"/>
      <c r="H56" s="181"/>
      <c r="I56" s="182"/>
      <c r="J56" s="185"/>
      <c r="K56" s="219"/>
      <c r="L56" s="304"/>
      <c r="M56" s="182"/>
      <c r="N56" s="185"/>
      <c r="O56" s="185"/>
      <c r="P56" s="186"/>
      <c r="Q56" s="182"/>
      <c r="R56" s="185"/>
      <c r="S56" s="326"/>
      <c r="T56" s="327"/>
      <c r="U56" s="322"/>
      <c r="V56" s="320"/>
      <c r="W56" s="320"/>
      <c r="X56" s="321"/>
      <c r="Y56" s="351" t="s">
        <v>1099</v>
      </c>
    </row>
    <row r="57" spans="1:25" ht="36.6" customHeight="1" x14ac:dyDescent="0.3">
      <c r="A57" s="357">
        <v>32</v>
      </c>
      <c r="B57" s="190">
        <v>18</v>
      </c>
      <c r="C57" s="319" t="s">
        <v>861</v>
      </c>
      <c r="D57" s="191"/>
      <c r="E57" s="192"/>
      <c r="F57" s="232"/>
      <c r="G57" s="180"/>
      <c r="H57" s="181"/>
      <c r="I57" s="182"/>
      <c r="J57" s="185"/>
      <c r="K57" s="219"/>
      <c r="L57" s="304"/>
      <c r="M57" s="182"/>
      <c r="N57" s="185"/>
      <c r="O57" s="185"/>
      <c r="P57" s="186"/>
      <c r="Q57" s="182"/>
      <c r="R57" s="185"/>
      <c r="S57" s="326"/>
      <c r="T57" s="327"/>
      <c r="U57" s="322"/>
      <c r="V57" s="320"/>
      <c r="W57" s="320"/>
      <c r="X57" s="321"/>
      <c r="Y57" s="351" t="s">
        <v>1099</v>
      </c>
    </row>
    <row r="58" spans="1:25" ht="36.6" customHeight="1" x14ac:dyDescent="0.3">
      <c r="A58" s="357">
        <v>32</v>
      </c>
      <c r="B58" s="190">
        <v>19</v>
      </c>
      <c r="C58" s="319" t="s">
        <v>862</v>
      </c>
      <c r="D58" s="191"/>
      <c r="E58" s="192"/>
      <c r="F58" s="232"/>
      <c r="G58" s="180"/>
      <c r="H58" s="181"/>
      <c r="I58" s="182"/>
      <c r="J58" s="185"/>
      <c r="K58" s="219"/>
      <c r="L58" s="304"/>
      <c r="M58" s="182"/>
      <c r="N58" s="185"/>
      <c r="O58" s="185"/>
      <c r="P58" s="186"/>
      <c r="Q58" s="182"/>
      <c r="R58" s="185"/>
      <c r="S58" s="326"/>
      <c r="T58" s="327"/>
      <c r="U58" s="322"/>
      <c r="V58" s="320"/>
      <c r="W58" s="320"/>
      <c r="X58" s="321"/>
      <c r="Y58" s="351" t="s">
        <v>1099</v>
      </c>
    </row>
    <row r="59" spans="1:25" ht="36.6" customHeight="1" x14ac:dyDescent="0.3">
      <c r="A59" s="357">
        <v>32</v>
      </c>
      <c r="B59" s="190">
        <v>20</v>
      </c>
      <c r="C59" s="319" t="s">
        <v>863</v>
      </c>
      <c r="D59" s="191"/>
      <c r="E59" s="192"/>
      <c r="F59" s="232"/>
      <c r="G59" s="180"/>
      <c r="H59" s="181"/>
      <c r="I59" s="182"/>
      <c r="J59" s="185"/>
      <c r="K59" s="219"/>
      <c r="L59" s="304"/>
      <c r="M59" s="182"/>
      <c r="N59" s="185"/>
      <c r="O59" s="185"/>
      <c r="P59" s="186"/>
      <c r="Q59" s="182"/>
      <c r="R59" s="185"/>
      <c r="S59" s="326"/>
      <c r="T59" s="327"/>
      <c r="U59" s="322"/>
      <c r="V59" s="320"/>
      <c r="W59" s="320"/>
      <c r="X59" s="321"/>
      <c r="Y59" s="351" t="s">
        <v>1099</v>
      </c>
    </row>
    <row r="60" spans="1:25" ht="36.6" customHeight="1" x14ac:dyDescent="0.3">
      <c r="A60" s="357">
        <v>32</v>
      </c>
      <c r="B60" s="190">
        <v>21</v>
      </c>
      <c r="C60" s="319" t="s">
        <v>864</v>
      </c>
      <c r="D60" s="191"/>
      <c r="E60" s="192"/>
      <c r="F60" s="232"/>
      <c r="G60" s="180"/>
      <c r="H60" s="181"/>
      <c r="I60" s="182"/>
      <c r="J60" s="185"/>
      <c r="K60" s="219"/>
      <c r="L60" s="304"/>
      <c r="M60" s="182"/>
      <c r="N60" s="185"/>
      <c r="O60" s="185"/>
      <c r="P60" s="186"/>
      <c r="Q60" s="182"/>
      <c r="R60" s="185"/>
      <c r="S60" s="326"/>
      <c r="T60" s="327"/>
      <c r="U60" s="322"/>
      <c r="V60" s="320"/>
      <c r="W60" s="320"/>
      <c r="X60" s="321"/>
      <c r="Y60" s="351" t="s">
        <v>1099</v>
      </c>
    </row>
    <row r="61" spans="1:25" ht="36.6" customHeight="1" x14ac:dyDescent="0.3">
      <c r="A61" s="357">
        <v>32</v>
      </c>
      <c r="B61" s="190">
        <v>22</v>
      </c>
      <c r="C61" s="319" t="s">
        <v>865</v>
      </c>
      <c r="D61" s="191"/>
      <c r="E61" s="192"/>
      <c r="F61" s="232"/>
      <c r="G61" s="180"/>
      <c r="H61" s="181"/>
      <c r="I61" s="182"/>
      <c r="J61" s="185"/>
      <c r="K61" s="219"/>
      <c r="L61" s="304"/>
      <c r="M61" s="182"/>
      <c r="N61" s="185"/>
      <c r="O61" s="185"/>
      <c r="P61" s="186"/>
      <c r="Q61" s="182"/>
      <c r="R61" s="185"/>
      <c r="S61" s="326"/>
      <c r="T61" s="327"/>
      <c r="U61" s="322"/>
      <c r="V61" s="320"/>
      <c r="W61" s="320"/>
      <c r="X61" s="321"/>
      <c r="Y61" s="351" t="s">
        <v>1099</v>
      </c>
    </row>
    <row r="62" spans="1:25" ht="36.6" customHeight="1" x14ac:dyDescent="0.3">
      <c r="A62" s="357">
        <v>32</v>
      </c>
      <c r="B62" s="190">
        <v>23</v>
      </c>
      <c r="C62" s="319" t="s">
        <v>866</v>
      </c>
      <c r="D62" s="191"/>
      <c r="E62" s="192"/>
      <c r="F62" s="232"/>
      <c r="G62" s="180"/>
      <c r="H62" s="181"/>
      <c r="I62" s="182"/>
      <c r="J62" s="185"/>
      <c r="K62" s="219"/>
      <c r="L62" s="304"/>
      <c r="M62" s="182"/>
      <c r="N62" s="185"/>
      <c r="O62" s="185"/>
      <c r="P62" s="186"/>
      <c r="Q62" s="182"/>
      <c r="R62" s="185"/>
      <c r="S62" s="326"/>
      <c r="T62" s="327"/>
      <c r="U62" s="322"/>
      <c r="V62" s="320"/>
      <c r="W62" s="320"/>
      <c r="X62" s="321"/>
      <c r="Y62" s="351" t="s">
        <v>1099</v>
      </c>
    </row>
    <row r="63" spans="1:25" ht="36.6" customHeight="1" x14ac:dyDescent="0.3">
      <c r="A63" s="357">
        <v>32</v>
      </c>
      <c r="B63" s="190">
        <v>24</v>
      </c>
      <c r="C63" s="319" t="s">
        <v>867</v>
      </c>
      <c r="D63" s="191"/>
      <c r="E63" s="192"/>
      <c r="F63" s="232"/>
      <c r="G63" s="180"/>
      <c r="H63" s="181"/>
      <c r="I63" s="182"/>
      <c r="J63" s="185"/>
      <c r="K63" s="219"/>
      <c r="L63" s="304"/>
      <c r="M63" s="182"/>
      <c r="N63" s="185"/>
      <c r="O63" s="185"/>
      <c r="P63" s="186"/>
      <c r="Q63" s="182"/>
      <c r="R63" s="185"/>
      <c r="S63" s="326"/>
      <c r="T63" s="327"/>
      <c r="U63" s="322"/>
      <c r="V63" s="320"/>
      <c r="W63" s="320"/>
      <c r="X63" s="321"/>
      <c r="Y63" s="351" t="s">
        <v>1099</v>
      </c>
    </row>
    <row r="64" spans="1:25" ht="36.6" customHeight="1" x14ac:dyDescent="0.3">
      <c r="A64" s="357">
        <v>32</v>
      </c>
      <c r="B64" s="190">
        <v>25</v>
      </c>
      <c r="C64" s="319" t="s">
        <v>868</v>
      </c>
      <c r="D64" s="191"/>
      <c r="E64" s="192"/>
      <c r="F64" s="232"/>
      <c r="G64" s="180"/>
      <c r="H64" s="181"/>
      <c r="I64" s="182"/>
      <c r="J64" s="185"/>
      <c r="K64" s="219"/>
      <c r="L64" s="304"/>
      <c r="M64" s="182"/>
      <c r="N64" s="185"/>
      <c r="O64" s="185"/>
      <c r="P64" s="186"/>
      <c r="Q64" s="182"/>
      <c r="R64" s="185"/>
      <c r="S64" s="326"/>
      <c r="T64" s="327"/>
      <c r="U64" s="322"/>
      <c r="V64" s="320"/>
      <c r="W64" s="320"/>
      <c r="X64" s="321"/>
      <c r="Y64" s="351" t="s">
        <v>1099</v>
      </c>
    </row>
    <row r="65" spans="1:25" ht="36.6" customHeight="1" x14ac:dyDescent="0.3">
      <c r="A65" s="357">
        <v>32</v>
      </c>
      <c r="B65" s="190">
        <v>26</v>
      </c>
      <c r="C65" s="319" t="s">
        <v>869</v>
      </c>
      <c r="D65" s="191"/>
      <c r="E65" s="192"/>
      <c r="F65" s="232"/>
      <c r="G65" s="180"/>
      <c r="H65" s="181"/>
      <c r="I65" s="182"/>
      <c r="J65" s="185"/>
      <c r="K65" s="219"/>
      <c r="L65" s="304"/>
      <c r="M65" s="182"/>
      <c r="N65" s="185"/>
      <c r="O65" s="185"/>
      <c r="P65" s="186"/>
      <c r="Q65" s="182"/>
      <c r="R65" s="185"/>
      <c r="S65" s="326"/>
      <c r="T65" s="327"/>
      <c r="U65" s="322"/>
      <c r="V65" s="320"/>
      <c r="W65" s="320"/>
      <c r="X65" s="321"/>
      <c r="Y65" s="351" t="s">
        <v>1099</v>
      </c>
    </row>
    <row r="66" spans="1:25" ht="36.6" customHeight="1" x14ac:dyDescent="0.3">
      <c r="A66" s="357">
        <v>32</v>
      </c>
      <c r="B66" s="190">
        <v>27</v>
      </c>
      <c r="C66" s="319" t="s">
        <v>870</v>
      </c>
      <c r="D66" s="191"/>
      <c r="E66" s="192"/>
      <c r="F66" s="232"/>
      <c r="G66" s="180"/>
      <c r="H66" s="181"/>
      <c r="I66" s="182"/>
      <c r="J66" s="185"/>
      <c r="K66" s="219"/>
      <c r="L66" s="304"/>
      <c r="M66" s="182"/>
      <c r="N66" s="185"/>
      <c r="O66" s="185"/>
      <c r="P66" s="186"/>
      <c r="Q66" s="182"/>
      <c r="R66" s="185"/>
      <c r="S66" s="326"/>
      <c r="T66" s="327"/>
      <c r="U66" s="322"/>
      <c r="V66" s="320"/>
      <c r="W66" s="320"/>
      <c r="X66" s="321"/>
      <c r="Y66" s="351" t="s">
        <v>1099</v>
      </c>
    </row>
    <row r="67" spans="1:25" ht="36.6" customHeight="1" x14ac:dyDescent="0.3">
      <c r="A67" s="357">
        <v>32</v>
      </c>
      <c r="B67" s="190">
        <v>28</v>
      </c>
      <c r="C67" s="319" t="s">
        <v>871</v>
      </c>
      <c r="D67" s="191"/>
      <c r="E67" s="192"/>
      <c r="F67" s="232"/>
      <c r="G67" s="180"/>
      <c r="H67" s="181"/>
      <c r="I67" s="182"/>
      <c r="J67" s="185"/>
      <c r="K67" s="219"/>
      <c r="L67" s="304"/>
      <c r="M67" s="182"/>
      <c r="N67" s="185"/>
      <c r="O67" s="185"/>
      <c r="P67" s="186"/>
      <c r="Q67" s="182"/>
      <c r="R67" s="185"/>
      <c r="S67" s="326"/>
      <c r="T67" s="327"/>
      <c r="U67" s="322"/>
      <c r="V67" s="320"/>
      <c r="W67" s="320"/>
      <c r="X67" s="321"/>
      <c r="Y67" s="351" t="s">
        <v>1099</v>
      </c>
    </row>
    <row r="68" spans="1:25" ht="44.4" customHeight="1" x14ac:dyDescent="0.3">
      <c r="A68" s="357">
        <v>32</v>
      </c>
      <c r="B68" s="190">
        <v>29</v>
      </c>
      <c r="C68" s="319" t="s">
        <v>872</v>
      </c>
      <c r="D68" s="191"/>
      <c r="E68" s="192"/>
      <c r="F68" s="232"/>
      <c r="G68" s="180"/>
      <c r="H68" s="181"/>
      <c r="I68" s="182"/>
      <c r="J68" s="185"/>
      <c r="K68" s="219"/>
      <c r="L68" s="304"/>
      <c r="M68" s="182"/>
      <c r="N68" s="185"/>
      <c r="O68" s="185"/>
      <c r="P68" s="186"/>
      <c r="Q68" s="182"/>
      <c r="R68" s="185"/>
      <c r="S68" s="326"/>
      <c r="T68" s="327"/>
      <c r="U68" s="322"/>
      <c r="V68" s="320"/>
      <c r="W68" s="320"/>
      <c r="X68" s="321"/>
      <c r="Y68" s="351" t="s">
        <v>1099</v>
      </c>
    </row>
    <row r="69" spans="1:25" ht="24" customHeight="1" x14ac:dyDescent="0.3">
      <c r="A69" s="357">
        <v>32</v>
      </c>
      <c r="B69" s="190">
        <v>30</v>
      </c>
      <c r="C69" s="319" t="s">
        <v>873</v>
      </c>
      <c r="D69" s="191"/>
      <c r="E69" s="192"/>
      <c r="F69" s="232"/>
      <c r="G69" s="180"/>
      <c r="H69" s="181"/>
      <c r="I69" s="182"/>
      <c r="J69" s="185"/>
      <c r="K69" s="219"/>
      <c r="L69" s="304"/>
      <c r="M69" s="182"/>
      <c r="N69" s="185"/>
      <c r="O69" s="185"/>
      <c r="P69" s="186"/>
      <c r="Q69" s="182"/>
      <c r="R69" s="185"/>
      <c r="S69" s="320"/>
      <c r="T69" s="324"/>
      <c r="U69" s="322"/>
      <c r="V69" s="320"/>
      <c r="W69" s="320"/>
      <c r="X69" s="321"/>
      <c r="Y69" s="185" t="s">
        <v>1101</v>
      </c>
    </row>
    <row r="70" spans="1:25" ht="24" customHeight="1" x14ac:dyDescent="0.3">
      <c r="A70" s="357">
        <v>32</v>
      </c>
      <c r="B70" s="190">
        <v>31</v>
      </c>
      <c r="C70" s="319" t="s">
        <v>874</v>
      </c>
      <c r="D70" s="191"/>
      <c r="E70" s="192"/>
      <c r="F70" s="232"/>
      <c r="G70" s="180"/>
      <c r="H70" s="181"/>
      <c r="I70" s="182"/>
      <c r="J70" s="185"/>
      <c r="K70" s="219"/>
      <c r="L70" s="304"/>
      <c r="M70" s="182"/>
      <c r="N70" s="185"/>
      <c r="O70" s="185"/>
      <c r="P70" s="186"/>
      <c r="Q70" s="182"/>
      <c r="R70" s="185"/>
      <c r="S70" s="320"/>
      <c r="T70" s="324"/>
      <c r="U70" s="322"/>
      <c r="V70" s="320"/>
      <c r="W70" s="320"/>
      <c r="X70" s="321"/>
      <c r="Y70" s="185" t="s">
        <v>1101</v>
      </c>
    </row>
    <row r="71" spans="1:25" ht="24" customHeight="1" x14ac:dyDescent="0.3">
      <c r="A71" s="357">
        <v>32</v>
      </c>
      <c r="B71" s="190">
        <v>32</v>
      </c>
      <c r="C71" s="319" t="s">
        <v>875</v>
      </c>
      <c r="D71" s="191"/>
      <c r="E71" s="192"/>
      <c r="F71" s="232"/>
      <c r="G71" s="180"/>
      <c r="H71" s="181"/>
      <c r="I71" s="182"/>
      <c r="J71" s="185"/>
      <c r="K71" s="219"/>
      <c r="L71" s="304"/>
      <c r="M71" s="182"/>
      <c r="N71" s="185"/>
      <c r="O71" s="185"/>
      <c r="P71" s="186"/>
      <c r="Q71" s="182"/>
      <c r="R71" s="185"/>
      <c r="S71" s="320"/>
      <c r="T71" s="324"/>
      <c r="U71" s="322"/>
      <c r="V71" s="320"/>
      <c r="W71" s="320"/>
      <c r="X71" s="321"/>
      <c r="Y71" s="185" t="s">
        <v>1101</v>
      </c>
    </row>
    <row r="72" spans="1:25" ht="24" customHeight="1" x14ac:dyDescent="0.3">
      <c r="A72" s="357">
        <v>32</v>
      </c>
      <c r="B72" s="190">
        <v>33</v>
      </c>
      <c r="C72" s="319" t="s">
        <v>840</v>
      </c>
      <c r="D72" s="191"/>
      <c r="E72" s="192"/>
      <c r="F72" s="232"/>
      <c r="G72" s="180"/>
      <c r="H72" s="181"/>
      <c r="I72" s="182"/>
      <c r="J72" s="185"/>
      <c r="K72" s="219"/>
      <c r="L72" s="304"/>
      <c r="M72" s="182"/>
      <c r="N72" s="185"/>
      <c r="O72" s="185"/>
      <c r="P72" s="186"/>
      <c r="Q72" s="182"/>
      <c r="R72" s="185"/>
      <c r="S72" s="320"/>
      <c r="T72" s="324"/>
      <c r="U72" s="322"/>
      <c r="V72" s="320"/>
      <c r="W72" s="320"/>
      <c r="X72" s="321"/>
      <c r="Y72" s="185" t="s">
        <v>1101</v>
      </c>
    </row>
    <row r="73" spans="1:25" ht="24" customHeight="1" x14ac:dyDescent="0.3">
      <c r="A73" s="357">
        <v>32</v>
      </c>
      <c r="B73" s="190">
        <v>34</v>
      </c>
      <c r="C73" s="319" t="s">
        <v>841</v>
      </c>
      <c r="D73" s="191"/>
      <c r="E73" s="192"/>
      <c r="F73" s="232"/>
      <c r="G73" s="180"/>
      <c r="H73" s="181"/>
      <c r="I73" s="182"/>
      <c r="J73" s="185"/>
      <c r="K73" s="219"/>
      <c r="L73" s="304"/>
      <c r="M73" s="182"/>
      <c r="N73" s="185"/>
      <c r="O73" s="185"/>
      <c r="P73" s="186"/>
      <c r="Q73" s="182"/>
      <c r="R73" s="185"/>
      <c r="S73" s="320"/>
      <c r="T73" s="324"/>
      <c r="U73" s="322"/>
      <c r="V73" s="320"/>
      <c r="W73" s="320"/>
      <c r="X73" s="321"/>
      <c r="Y73" s="185" t="s">
        <v>1101</v>
      </c>
    </row>
    <row r="74" spans="1:25" ht="24" customHeight="1" x14ac:dyDescent="0.3">
      <c r="A74" s="357">
        <v>32</v>
      </c>
      <c r="B74" s="190">
        <v>35</v>
      </c>
      <c r="C74" s="319" t="s">
        <v>842</v>
      </c>
      <c r="D74" s="191"/>
      <c r="E74" s="192"/>
      <c r="F74" s="232"/>
      <c r="G74" s="180"/>
      <c r="H74" s="181"/>
      <c r="I74" s="182"/>
      <c r="J74" s="185"/>
      <c r="K74" s="219"/>
      <c r="L74" s="304"/>
      <c r="M74" s="182"/>
      <c r="N74" s="185"/>
      <c r="O74" s="185"/>
      <c r="P74" s="186"/>
      <c r="Q74" s="182"/>
      <c r="R74" s="185"/>
      <c r="S74" s="320"/>
      <c r="T74" s="324"/>
      <c r="U74" s="322"/>
      <c r="V74" s="320"/>
      <c r="W74" s="320"/>
      <c r="X74" s="321"/>
      <c r="Y74" s="185" t="s">
        <v>1101</v>
      </c>
    </row>
    <row r="75" spans="1:25" ht="24" customHeight="1" x14ac:dyDescent="0.3">
      <c r="A75" s="357">
        <v>32</v>
      </c>
      <c r="B75" s="190">
        <v>36</v>
      </c>
      <c r="C75" s="319" t="s">
        <v>843</v>
      </c>
      <c r="D75" s="191"/>
      <c r="E75" s="192"/>
      <c r="F75" s="232"/>
      <c r="G75" s="180"/>
      <c r="H75" s="181"/>
      <c r="I75" s="182"/>
      <c r="J75" s="185"/>
      <c r="K75" s="219"/>
      <c r="L75" s="304"/>
      <c r="M75" s="182"/>
      <c r="N75" s="185"/>
      <c r="O75" s="185"/>
      <c r="P75" s="186"/>
      <c r="Q75" s="182"/>
      <c r="R75" s="185"/>
      <c r="S75" s="320"/>
      <c r="T75" s="324"/>
      <c r="U75" s="322"/>
      <c r="V75" s="320"/>
      <c r="W75" s="320"/>
      <c r="X75" s="321"/>
      <c r="Y75" s="185" t="s">
        <v>1101</v>
      </c>
    </row>
    <row r="76" spans="1:25" ht="24" customHeight="1" x14ac:dyDescent="0.3">
      <c r="A76" s="357">
        <v>32</v>
      </c>
      <c r="B76" s="190">
        <v>37</v>
      </c>
      <c r="C76" s="319" t="s">
        <v>844</v>
      </c>
      <c r="D76" s="191"/>
      <c r="E76" s="192"/>
      <c r="F76" s="232"/>
      <c r="G76" s="180"/>
      <c r="H76" s="181"/>
      <c r="I76" s="182"/>
      <c r="J76" s="185"/>
      <c r="K76" s="219"/>
      <c r="L76" s="304"/>
      <c r="M76" s="182"/>
      <c r="N76" s="185"/>
      <c r="O76" s="185"/>
      <c r="P76" s="186"/>
      <c r="Q76" s="182"/>
      <c r="R76" s="185"/>
      <c r="S76" s="320"/>
      <c r="T76" s="324"/>
      <c r="U76" s="322"/>
      <c r="V76" s="320"/>
      <c r="W76" s="320"/>
      <c r="X76" s="321"/>
      <c r="Y76" s="185" t="s">
        <v>1101</v>
      </c>
    </row>
    <row r="77" spans="1:25" ht="24" customHeight="1" x14ac:dyDescent="0.3">
      <c r="A77" s="357">
        <v>32</v>
      </c>
      <c r="B77" s="190">
        <v>38</v>
      </c>
      <c r="C77" s="319" t="s">
        <v>876</v>
      </c>
      <c r="D77" s="191"/>
      <c r="E77" s="192"/>
      <c r="F77" s="232"/>
      <c r="G77" s="180"/>
      <c r="H77" s="181"/>
      <c r="I77" s="182"/>
      <c r="J77" s="185"/>
      <c r="K77" s="219"/>
      <c r="L77" s="304"/>
      <c r="M77" s="182"/>
      <c r="N77" s="185"/>
      <c r="O77" s="185"/>
      <c r="P77" s="186"/>
      <c r="Q77" s="182"/>
      <c r="R77" s="185"/>
      <c r="S77" s="320"/>
      <c r="T77" s="324"/>
      <c r="U77" s="322"/>
      <c r="V77" s="320"/>
      <c r="W77" s="320"/>
      <c r="X77" s="321"/>
      <c r="Y77" s="185" t="s">
        <v>1101</v>
      </c>
    </row>
    <row r="78" spans="1:25" ht="24" customHeight="1" x14ac:dyDescent="0.3">
      <c r="A78" s="357">
        <v>32</v>
      </c>
      <c r="B78" s="190">
        <v>39</v>
      </c>
      <c r="C78" s="319" t="s">
        <v>877</v>
      </c>
      <c r="D78" s="191"/>
      <c r="E78" s="192"/>
      <c r="F78" s="232"/>
      <c r="G78" s="180"/>
      <c r="H78" s="181"/>
      <c r="I78" s="182"/>
      <c r="J78" s="185"/>
      <c r="K78" s="219"/>
      <c r="L78" s="304"/>
      <c r="M78" s="182"/>
      <c r="N78" s="185"/>
      <c r="O78" s="185"/>
      <c r="P78" s="186"/>
      <c r="Q78" s="182"/>
      <c r="R78" s="185"/>
      <c r="S78" s="320"/>
      <c r="T78" s="324"/>
      <c r="U78" s="322"/>
      <c r="V78" s="320"/>
      <c r="W78" s="320"/>
      <c r="X78" s="321"/>
      <c r="Y78" s="185" t="s">
        <v>1101</v>
      </c>
    </row>
    <row r="79" spans="1:25" ht="24" customHeight="1" x14ac:dyDescent="0.3">
      <c r="A79" s="357">
        <v>32</v>
      </c>
      <c r="B79" s="190">
        <v>40</v>
      </c>
      <c r="C79" s="319" t="s">
        <v>878</v>
      </c>
      <c r="D79" s="191"/>
      <c r="E79" s="192"/>
      <c r="F79" s="232"/>
      <c r="G79" s="180"/>
      <c r="H79" s="181"/>
      <c r="I79" s="182"/>
      <c r="J79" s="185"/>
      <c r="K79" s="219"/>
      <c r="L79" s="304"/>
      <c r="M79" s="182"/>
      <c r="N79" s="185"/>
      <c r="O79" s="185"/>
      <c r="P79" s="186"/>
      <c r="Q79" s="182"/>
      <c r="R79" s="185"/>
      <c r="S79" s="320"/>
      <c r="T79" s="324"/>
      <c r="U79" s="322"/>
      <c r="V79" s="320"/>
      <c r="W79" s="320"/>
      <c r="X79" s="321"/>
      <c r="Y79" s="185" t="s">
        <v>1101</v>
      </c>
    </row>
    <row r="80" spans="1:25" ht="24" customHeight="1" x14ac:dyDescent="0.3">
      <c r="A80" s="357">
        <v>32</v>
      </c>
      <c r="B80" s="190">
        <v>41</v>
      </c>
      <c r="C80" s="319" t="s">
        <v>879</v>
      </c>
      <c r="D80" s="191"/>
      <c r="E80" s="192"/>
      <c r="F80" s="232"/>
      <c r="G80" s="180"/>
      <c r="H80" s="181"/>
      <c r="I80" s="182"/>
      <c r="J80" s="185"/>
      <c r="K80" s="219"/>
      <c r="L80" s="304"/>
      <c r="M80" s="182"/>
      <c r="N80" s="185"/>
      <c r="O80" s="185"/>
      <c r="P80" s="186"/>
      <c r="Q80" s="182"/>
      <c r="R80" s="185"/>
      <c r="S80" s="320"/>
      <c r="T80" s="324"/>
      <c r="U80" s="322"/>
      <c r="V80" s="320"/>
      <c r="W80" s="320"/>
      <c r="X80" s="321"/>
      <c r="Y80" s="185" t="s">
        <v>1101</v>
      </c>
    </row>
    <row r="81" spans="1:25" ht="24" customHeight="1" x14ac:dyDescent="0.3">
      <c r="A81" s="357">
        <v>32</v>
      </c>
      <c r="B81" s="190">
        <v>42</v>
      </c>
      <c r="C81" s="319" t="s">
        <v>880</v>
      </c>
      <c r="D81" s="191"/>
      <c r="E81" s="192"/>
      <c r="F81" s="232"/>
      <c r="G81" s="180"/>
      <c r="H81" s="181"/>
      <c r="I81" s="182"/>
      <c r="J81" s="185"/>
      <c r="K81" s="219"/>
      <c r="L81" s="304"/>
      <c r="M81" s="182"/>
      <c r="N81" s="185"/>
      <c r="O81" s="185"/>
      <c r="P81" s="186"/>
      <c r="Q81" s="182"/>
      <c r="R81" s="185"/>
      <c r="S81" s="320"/>
      <c r="T81" s="324"/>
      <c r="U81" s="322"/>
      <c r="V81" s="320"/>
      <c r="W81" s="320"/>
      <c r="X81" s="321"/>
      <c r="Y81" s="185" t="s">
        <v>1101</v>
      </c>
    </row>
    <row r="82" spans="1:25" ht="24" customHeight="1" x14ac:dyDescent="0.3">
      <c r="A82" s="357">
        <v>32</v>
      </c>
      <c r="B82" s="190">
        <v>43</v>
      </c>
      <c r="C82" s="319" t="s">
        <v>881</v>
      </c>
      <c r="D82" s="191"/>
      <c r="E82" s="192"/>
      <c r="F82" s="232"/>
      <c r="G82" s="180"/>
      <c r="H82" s="181"/>
      <c r="I82" s="182"/>
      <c r="J82" s="185"/>
      <c r="K82" s="219"/>
      <c r="L82" s="304"/>
      <c r="M82" s="182"/>
      <c r="N82" s="185"/>
      <c r="O82" s="185"/>
      <c r="P82" s="186"/>
      <c r="Q82" s="182"/>
      <c r="R82" s="185"/>
      <c r="S82" s="320"/>
      <c r="T82" s="324"/>
      <c r="U82" s="322"/>
      <c r="V82" s="320"/>
      <c r="W82" s="320"/>
      <c r="X82" s="321"/>
      <c r="Y82" s="185" t="s">
        <v>1101</v>
      </c>
    </row>
    <row r="83" spans="1:25" ht="24" customHeight="1" x14ac:dyDescent="0.3">
      <c r="A83" s="357">
        <v>32</v>
      </c>
      <c r="B83" s="190">
        <v>44</v>
      </c>
      <c r="C83" s="319" t="s">
        <v>882</v>
      </c>
      <c r="D83" s="191"/>
      <c r="E83" s="192"/>
      <c r="F83" s="232"/>
      <c r="G83" s="180"/>
      <c r="H83" s="181"/>
      <c r="I83" s="182"/>
      <c r="J83" s="185"/>
      <c r="K83" s="219"/>
      <c r="L83" s="304"/>
      <c r="M83" s="182"/>
      <c r="N83" s="185"/>
      <c r="O83" s="185"/>
      <c r="P83" s="186"/>
      <c r="Q83" s="182"/>
      <c r="R83" s="185"/>
      <c r="S83" s="320"/>
      <c r="T83" s="324"/>
      <c r="U83" s="322"/>
      <c r="V83" s="320"/>
      <c r="W83" s="320"/>
      <c r="X83" s="321"/>
      <c r="Y83" s="185" t="s">
        <v>1101</v>
      </c>
    </row>
    <row r="84" spans="1:25" ht="24" customHeight="1" x14ac:dyDescent="0.3">
      <c r="A84" s="357">
        <v>32</v>
      </c>
      <c r="B84" s="190">
        <v>45</v>
      </c>
      <c r="C84" s="319" t="s">
        <v>883</v>
      </c>
      <c r="D84" s="191"/>
      <c r="E84" s="192"/>
      <c r="F84" s="232"/>
      <c r="G84" s="180"/>
      <c r="H84" s="181"/>
      <c r="I84" s="182"/>
      <c r="J84" s="185"/>
      <c r="K84" s="219"/>
      <c r="L84" s="304"/>
      <c r="M84" s="182"/>
      <c r="N84" s="185"/>
      <c r="O84" s="185"/>
      <c r="P84" s="186"/>
      <c r="Q84" s="182"/>
      <c r="R84" s="185"/>
      <c r="S84" s="320"/>
      <c r="T84" s="324"/>
      <c r="U84" s="322"/>
      <c r="V84" s="320"/>
      <c r="W84" s="320"/>
      <c r="X84" s="321"/>
      <c r="Y84" s="185" t="s">
        <v>1101</v>
      </c>
    </row>
    <row r="85" spans="1:25" ht="24" customHeight="1" x14ac:dyDescent="0.3">
      <c r="A85" s="357">
        <v>32</v>
      </c>
      <c r="B85" s="190">
        <v>46</v>
      </c>
      <c r="C85" s="319" t="s">
        <v>884</v>
      </c>
      <c r="D85" s="191"/>
      <c r="E85" s="192"/>
      <c r="F85" s="232"/>
      <c r="G85" s="180"/>
      <c r="H85" s="181"/>
      <c r="I85" s="182"/>
      <c r="J85" s="185"/>
      <c r="K85" s="219"/>
      <c r="L85" s="304"/>
      <c r="M85" s="182"/>
      <c r="N85" s="185"/>
      <c r="O85" s="185"/>
      <c r="P85" s="186"/>
      <c r="Q85" s="182"/>
      <c r="R85" s="185"/>
      <c r="S85" s="320"/>
      <c r="T85" s="324"/>
      <c r="U85" s="322"/>
      <c r="V85" s="320"/>
      <c r="W85" s="320"/>
      <c r="X85" s="321"/>
      <c r="Y85" s="185" t="s">
        <v>1101</v>
      </c>
    </row>
    <row r="86" spans="1:25" ht="24" customHeight="1" x14ac:dyDescent="0.3">
      <c r="A86" s="357">
        <v>32</v>
      </c>
      <c r="B86" s="190">
        <v>47</v>
      </c>
      <c r="C86" s="319" t="s">
        <v>885</v>
      </c>
      <c r="D86" s="191"/>
      <c r="E86" s="192"/>
      <c r="F86" s="232"/>
      <c r="G86" s="180"/>
      <c r="H86" s="181"/>
      <c r="I86" s="182"/>
      <c r="J86" s="185"/>
      <c r="K86" s="219"/>
      <c r="L86" s="304"/>
      <c r="M86" s="182"/>
      <c r="N86" s="185"/>
      <c r="O86" s="185"/>
      <c r="P86" s="186"/>
      <c r="Q86" s="182"/>
      <c r="R86" s="185"/>
      <c r="S86" s="320"/>
      <c r="T86" s="324"/>
      <c r="U86" s="322"/>
      <c r="V86" s="320"/>
      <c r="W86" s="320"/>
      <c r="X86" s="321"/>
      <c r="Y86" s="185" t="s">
        <v>1101</v>
      </c>
    </row>
    <row r="87" spans="1:25" ht="24" customHeight="1" x14ac:dyDescent="0.3">
      <c r="A87" s="357">
        <v>32</v>
      </c>
      <c r="B87" s="190">
        <v>48</v>
      </c>
      <c r="C87" s="319" t="s">
        <v>886</v>
      </c>
      <c r="D87" s="191"/>
      <c r="E87" s="192"/>
      <c r="F87" s="232"/>
      <c r="G87" s="180"/>
      <c r="H87" s="181"/>
      <c r="I87" s="182"/>
      <c r="J87" s="185"/>
      <c r="K87" s="219"/>
      <c r="L87" s="304"/>
      <c r="M87" s="182"/>
      <c r="N87" s="185"/>
      <c r="O87" s="185"/>
      <c r="P87" s="186"/>
      <c r="Q87" s="182"/>
      <c r="R87" s="185"/>
      <c r="S87" s="320"/>
      <c r="T87" s="324"/>
      <c r="U87" s="322"/>
      <c r="V87" s="320"/>
      <c r="W87" s="320"/>
      <c r="X87" s="321"/>
      <c r="Y87" s="185" t="s">
        <v>1101</v>
      </c>
    </row>
    <row r="88" spans="1:25" ht="24" customHeight="1" x14ac:dyDescent="0.3">
      <c r="A88" s="357">
        <v>32</v>
      </c>
      <c r="B88" s="190">
        <v>49</v>
      </c>
      <c r="C88" s="319" t="s">
        <v>887</v>
      </c>
      <c r="D88" s="191"/>
      <c r="E88" s="192"/>
      <c r="F88" s="232"/>
      <c r="G88" s="180"/>
      <c r="H88" s="181"/>
      <c r="I88" s="182"/>
      <c r="J88" s="185"/>
      <c r="K88" s="219"/>
      <c r="L88" s="304"/>
      <c r="M88" s="182"/>
      <c r="N88" s="185"/>
      <c r="O88" s="185"/>
      <c r="P88" s="186"/>
      <c r="Q88" s="182"/>
      <c r="R88" s="185"/>
      <c r="S88" s="320"/>
      <c r="T88" s="324"/>
      <c r="U88" s="322"/>
      <c r="V88" s="320"/>
      <c r="W88" s="320"/>
      <c r="X88" s="321"/>
      <c r="Y88" s="185" t="s">
        <v>1101</v>
      </c>
    </row>
    <row r="89" spans="1:25" ht="24" customHeight="1" x14ac:dyDescent="0.3">
      <c r="A89" s="357">
        <v>32</v>
      </c>
      <c r="B89" s="190">
        <v>50</v>
      </c>
      <c r="C89" s="319" t="s">
        <v>888</v>
      </c>
      <c r="D89" s="191"/>
      <c r="E89" s="192"/>
      <c r="F89" s="232"/>
      <c r="G89" s="180"/>
      <c r="H89" s="181"/>
      <c r="I89" s="182"/>
      <c r="J89" s="185"/>
      <c r="K89" s="219"/>
      <c r="L89" s="304"/>
      <c r="M89" s="182"/>
      <c r="N89" s="185"/>
      <c r="O89" s="185"/>
      <c r="P89" s="186"/>
      <c r="Q89" s="182"/>
      <c r="R89" s="185"/>
      <c r="S89" s="320"/>
      <c r="T89" s="324"/>
      <c r="U89" s="322"/>
      <c r="V89" s="320"/>
      <c r="W89" s="320"/>
      <c r="X89" s="321"/>
      <c r="Y89" s="185" t="s">
        <v>1101</v>
      </c>
    </row>
    <row r="90" spans="1:25" ht="24" customHeight="1" x14ac:dyDescent="0.3">
      <c r="A90" s="357">
        <v>32</v>
      </c>
      <c r="B90" s="190">
        <v>51</v>
      </c>
      <c r="C90" s="319" t="s">
        <v>889</v>
      </c>
      <c r="D90" s="191"/>
      <c r="E90" s="192"/>
      <c r="F90" s="232"/>
      <c r="G90" s="180"/>
      <c r="H90" s="181"/>
      <c r="I90" s="182"/>
      <c r="J90" s="185"/>
      <c r="K90" s="219"/>
      <c r="L90" s="304"/>
      <c r="M90" s="182"/>
      <c r="N90" s="185"/>
      <c r="O90" s="185"/>
      <c r="P90" s="186"/>
      <c r="Q90" s="182"/>
      <c r="R90" s="185"/>
      <c r="S90" s="320"/>
      <c r="T90" s="324"/>
      <c r="U90" s="322"/>
      <c r="V90" s="320"/>
      <c r="W90" s="320"/>
      <c r="X90" s="321"/>
      <c r="Y90" s="185" t="s">
        <v>1101</v>
      </c>
    </row>
    <row r="91" spans="1:25" ht="24" customHeight="1" x14ac:dyDescent="0.3">
      <c r="A91" s="357">
        <v>32</v>
      </c>
      <c r="B91" s="190">
        <v>52</v>
      </c>
      <c r="C91" s="319" t="s">
        <v>890</v>
      </c>
      <c r="D91" s="191"/>
      <c r="E91" s="192"/>
      <c r="F91" s="232"/>
      <c r="G91" s="180"/>
      <c r="H91" s="181"/>
      <c r="I91" s="182"/>
      <c r="J91" s="185"/>
      <c r="K91" s="219"/>
      <c r="L91" s="304"/>
      <c r="M91" s="182"/>
      <c r="N91" s="185"/>
      <c r="O91" s="185"/>
      <c r="P91" s="186"/>
      <c r="Q91" s="182"/>
      <c r="R91" s="185"/>
      <c r="S91" s="320"/>
      <c r="T91" s="324"/>
      <c r="U91" s="322"/>
      <c r="V91" s="320"/>
      <c r="W91" s="320"/>
      <c r="X91" s="321"/>
      <c r="Y91" s="185" t="s">
        <v>1101</v>
      </c>
    </row>
    <row r="92" spans="1:25" ht="24" customHeight="1" x14ac:dyDescent="0.3">
      <c r="A92" s="357">
        <v>32</v>
      </c>
      <c r="B92" s="190">
        <v>53</v>
      </c>
      <c r="C92" s="319" t="s">
        <v>891</v>
      </c>
      <c r="D92" s="191"/>
      <c r="E92" s="192"/>
      <c r="F92" s="232"/>
      <c r="G92" s="180"/>
      <c r="H92" s="181"/>
      <c r="I92" s="182"/>
      <c r="J92" s="185"/>
      <c r="K92" s="219"/>
      <c r="L92" s="304"/>
      <c r="M92" s="182"/>
      <c r="N92" s="185"/>
      <c r="O92" s="185"/>
      <c r="P92" s="186"/>
      <c r="Q92" s="182"/>
      <c r="R92" s="185"/>
      <c r="S92" s="320"/>
      <c r="T92" s="324"/>
      <c r="U92" s="322"/>
      <c r="V92" s="320"/>
      <c r="W92" s="320"/>
      <c r="X92" s="321"/>
      <c r="Y92" s="185" t="s">
        <v>1101</v>
      </c>
    </row>
    <row r="93" spans="1:25" ht="24" customHeight="1" x14ac:dyDescent="0.3">
      <c r="A93" s="357">
        <v>32</v>
      </c>
      <c r="B93" s="190">
        <v>54</v>
      </c>
      <c r="C93" s="319" t="s">
        <v>892</v>
      </c>
      <c r="D93" s="191"/>
      <c r="E93" s="192"/>
      <c r="F93" s="232"/>
      <c r="G93" s="180"/>
      <c r="H93" s="181"/>
      <c r="I93" s="182"/>
      <c r="J93" s="185"/>
      <c r="K93" s="219"/>
      <c r="L93" s="304"/>
      <c r="M93" s="182"/>
      <c r="N93" s="185"/>
      <c r="O93" s="185"/>
      <c r="P93" s="186"/>
      <c r="Q93" s="182"/>
      <c r="R93" s="185"/>
      <c r="S93" s="320"/>
      <c r="T93" s="324"/>
      <c r="U93" s="322"/>
      <c r="V93" s="320"/>
      <c r="W93" s="320"/>
      <c r="X93" s="321"/>
      <c r="Y93" s="185" t="s">
        <v>1101</v>
      </c>
    </row>
    <row r="94" spans="1:25" ht="24" customHeight="1" x14ac:dyDescent="0.3">
      <c r="A94" s="357">
        <v>32</v>
      </c>
      <c r="B94" s="190">
        <v>55</v>
      </c>
      <c r="C94" s="319" t="s">
        <v>893</v>
      </c>
      <c r="D94" s="191"/>
      <c r="E94" s="192"/>
      <c r="F94" s="232"/>
      <c r="G94" s="180"/>
      <c r="H94" s="181"/>
      <c r="I94" s="182"/>
      <c r="J94" s="185"/>
      <c r="K94" s="219"/>
      <c r="L94" s="304"/>
      <c r="M94" s="182"/>
      <c r="N94" s="185"/>
      <c r="O94" s="185"/>
      <c r="P94" s="186"/>
      <c r="Q94" s="182"/>
      <c r="R94" s="185"/>
      <c r="S94" s="320"/>
      <c r="T94" s="324"/>
      <c r="U94" s="322"/>
      <c r="V94" s="320"/>
      <c r="W94" s="320"/>
      <c r="X94" s="321"/>
      <c r="Y94" s="185" t="s">
        <v>1101</v>
      </c>
    </row>
    <row r="95" spans="1:25" ht="24" customHeight="1" x14ac:dyDescent="0.3">
      <c r="A95" s="357">
        <v>32</v>
      </c>
      <c r="B95" s="190">
        <v>56</v>
      </c>
      <c r="C95" s="319" t="s">
        <v>894</v>
      </c>
      <c r="D95" s="191"/>
      <c r="E95" s="192"/>
      <c r="F95" s="232"/>
      <c r="G95" s="180"/>
      <c r="H95" s="181"/>
      <c r="I95" s="182"/>
      <c r="J95" s="185"/>
      <c r="K95" s="219"/>
      <c r="L95" s="304"/>
      <c r="M95" s="182"/>
      <c r="N95" s="185"/>
      <c r="O95" s="185"/>
      <c r="P95" s="186"/>
      <c r="Q95" s="182"/>
      <c r="R95" s="185"/>
      <c r="S95" s="320"/>
      <c r="T95" s="324"/>
      <c r="U95" s="322"/>
      <c r="V95" s="320"/>
      <c r="W95" s="320"/>
      <c r="X95" s="321"/>
      <c r="Y95" s="185" t="s">
        <v>1101</v>
      </c>
    </row>
    <row r="96" spans="1:25" ht="36" customHeight="1" x14ac:dyDescent="0.3">
      <c r="A96" s="367"/>
      <c r="B96" s="368" t="s">
        <v>479</v>
      </c>
      <c r="C96" s="368" t="s">
        <v>283</v>
      </c>
      <c r="D96" s="368" t="s">
        <v>546</v>
      </c>
      <c r="E96" s="379"/>
      <c r="F96" s="269"/>
      <c r="G96" s="372"/>
      <c r="H96" s="373"/>
      <c r="I96" s="374"/>
      <c r="J96" s="371"/>
      <c r="K96" s="371"/>
      <c r="L96" s="375"/>
      <c r="M96" s="374"/>
      <c r="N96" s="371"/>
      <c r="O96" s="371"/>
      <c r="P96" s="376"/>
      <c r="Q96" s="374"/>
      <c r="R96" s="371"/>
      <c r="S96" s="371"/>
      <c r="T96" s="376"/>
      <c r="U96" s="377"/>
      <c r="V96" s="371"/>
      <c r="W96" s="371"/>
      <c r="X96" s="375"/>
      <c r="Y96" s="371"/>
    </row>
    <row r="97" spans="1:26" ht="15" customHeight="1" x14ac:dyDescent="0.3">
      <c r="A97" s="173">
        <v>33</v>
      </c>
      <c r="B97" s="226">
        <v>1</v>
      </c>
      <c r="C97" s="250" t="s">
        <v>86</v>
      </c>
      <c r="D97" s="250" t="s">
        <v>86</v>
      </c>
      <c r="E97" s="455">
        <v>271898936</v>
      </c>
      <c r="F97" s="232" t="s">
        <v>752</v>
      </c>
      <c r="G97" s="180"/>
      <c r="H97" s="181"/>
      <c r="I97" s="182"/>
      <c r="J97" s="185"/>
      <c r="K97" s="185"/>
      <c r="L97" s="230"/>
      <c r="M97" s="182"/>
      <c r="N97" s="185"/>
      <c r="O97" s="185"/>
      <c r="P97" s="186"/>
      <c r="Q97" s="182"/>
      <c r="R97" s="185"/>
      <c r="S97" s="185"/>
      <c r="T97" s="186"/>
      <c r="U97" s="298"/>
      <c r="V97" s="185"/>
      <c r="W97" s="185"/>
      <c r="X97" s="230"/>
      <c r="Y97" s="185"/>
    </row>
    <row r="98" spans="1:26" ht="15" customHeight="1" x14ac:dyDescent="0.3">
      <c r="A98" s="173">
        <v>34</v>
      </c>
      <c r="B98" s="226">
        <v>2</v>
      </c>
      <c r="C98" s="250" t="s">
        <v>87</v>
      </c>
      <c r="D98" s="250" t="s">
        <v>87</v>
      </c>
      <c r="E98" s="455"/>
      <c r="F98" s="232" t="s">
        <v>752</v>
      </c>
      <c r="G98" s="180"/>
      <c r="H98" s="181"/>
      <c r="I98" s="182"/>
      <c r="J98" s="185"/>
      <c r="K98" s="185"/>
      <c r="L98" s="230"/>
      <c r="M98" s="182"/>
      <c r="N98" s="185"/>
      <c r="O98" s="185"/>
      <c r="P98" s="186"/>
      <c r="Q98" s="182"/>
      <c r="R98" s="185"/>
      <c r="S98" s="185"/>
      <c r="T98" s="186"/>
      <c r="U98" s="298"/>
      <c r="V98" s="185"/>
      <c r="W98" s="185"/>
      <c r="X98" s="230"/>
      <c r="Y98" s="185"/>
    </row>
    <row r="99" spans="1:26" ht="15" customHeight="1" x14ac:dyDescent="0.3">
      <c r="A99" s="357">
        <v>35</v>
      </c>
      <c r="B99" s="226">
        <v>3</v>
      </c>
      <c r="C99" s="250" t="s">
        <v>226</v>
      </c>
      <c r="D99" s="250" t="s">
        <v>226</v>
      </c>
      <c r="E99" s="455">
        <v>476856974</v>
      </c>
      <c r="F99" s="232" t="s">
        <v>752</v>
      </c>
      <c r="G99" s="180"/>
      <c r="H99" s="224"/>
      <c r="I99" s="225"/>
      <c r="J99" s="219"/>
      <c r="K99" s="185"/>
      <c r="L99" s="230"/>
      <c r="M99" s="182"/>
      <c r="N99" s="185"/>
      <c r="O99" s="185"/>
      <c r="P99" s="186"/>
      <c r="Q99" s="182"/>
      <c r="R99" s="185"/>
      <c r="S99" s="185"/>
      <c r="T99" s="186"/>
      <c r="U99" s="298"/>
      <c r="V99" s="185"/>
      <c r="W99" s="185"/>
      <c r="X99" s="230"/>
      <c r="Y99" s="185"/>
    </row>
    <row r="100" spans="1:26" ht="15" customHeight="1" x14ac:dyDescent="0.3">
      <c r="A100" s="357">
        <v>36</v>
      </c>
      <c r="B100" s="173">
        <v>4</v>
      </c>
      <c r="C100" s="447" t="s">
        <v>386</v>
      </c>
      <c r="D100" s="250" t="s">
        <v>387</v>
      </c>
      <c r="E100" s="455"/>
      <c r="F100" s="232" t="s">
        <v>752</v>
      </c>
      <c r="G100" s="200"/>
      <c r="H100" s="224"/>
      <c r="I100" s="225"/>
      <c r="J100" s="219"/>
      <c r="K100" s="185"/>
      <c r="L100" s="230"/>
      <c r="M100" s="182"/>
      <c r="N100" s="185"/>
      <c r="O100" s="185"/>
      <c r="P100" s="186"/>
      <c r="Q100" s="182"/>
      <c r="R100" s="185"/>
      <c r="S100" s="185"/>
      <c r="T100" s="186"/>
      <c r="U100" s="298"/>
      <c r="V100" s="185"/>
      <c r="W100" s="185"/>
      <c r="X100" s="230"/>
      <c r="Y100" s="185"/>
    </row>
    <row r="101" spans="1:26" ht="15" customHeight="1" x14ac:dyDescent="0.3">
      <c r="A101" s="357">
        <v>37</v>
      </c>
      <c r="B101" s="173">
        <v>5</v>
      </c>
      <c r="C101" s="448"/>
      <c r="D101" s="250" t="s">
        <v>388</v>
      </c>
      <c r="E101" s="455"/>
      <c r="F101" s="232" t="s">
        <v>752</v>
      </c>
      <c r="G101" s="200"/>
      <c r="H101" s="224"/>
      <c r="I101" s="225"/>
      <c r="J101" s="219"/>
      <c r="K101" s="185"/>
      <c r="L101" s="230"/>
      <c r="M101" s="182"/>
      <c r="N101" s="185"/>
      <c r="O101" s="185"/>
      <c r="P101" s="186"/>
      <c r="Q101" s="182"/>
      <c r="R101" s="185"/>
      <c r="S101" s="185"/>
      <c r="T101" s="186"/>
      <c r="U101" s="298"/>
      <c r="V101" s="185"/>
      <c r="W101" s="185"/>
      <c r="X101" s="230"/>
      <c r="Y101" s="185"/>
    </row>
    <row r="102" spans="1:26" ht="15" customHeight="1" x14ac:dyDescent="0.3">
      <c r="A102" s="357">
        <v>38</v>
      </c>
      <c r="B102" s="173">
        <v>6</v>
      </c>
      <c r="C102" s="448"/>
      <c r="D102" s="250" t="s">
        <v>389</v>
      </c>
      <c r="E102" s="455"/>
      <c r="F102" s="232" t="s">
        <v>752</v>
      </c>
      <c r="G102" s="200"/>
      <c r="H102" s="224"/>
      <c r="I102" s="225"/>
      <c r="J102" s="219"/>
      <c r="K102" s="185"/>
      <c r="L102" s="230"/>
      <c r="M102" s="182"/>
      <c r="N102" s="185"/>
      <c r="O102" s="185"/>
      <c r="P102" s="186"/>
      <c r="Q102" s="182"/>
      <c r="R102" s="185"/>
      <c r="S102" s="185"/>
      <c r="T102" s="186"/>
      <c r="U102" s="298"/>
      <c r="V102" s="185"/>
      <c r="W102" s="185"/>
      <c r="X102" s="230"/>
      <c r="Y102" s="185"/>
    </row>
    <row r="103" spans="1:26" ht="15" customHeight="1" x14ac:dyDescent="0.3">
      <c r="A103" s="357">
        <v>39</v>
      </c>
      <c r="B103" s="173">
        <v>7</v>
      </c>
      <c r="C103" s="448"/>
      <c r="D103" s="250" t="s">
        <v>390</v>
      </c>
      <c r="E103" s="455"/>
      <c r="F103" s="232" t="s">
        <v>752</v>
      </c>
      <c r="G103" s="200"/>
      <c r="H103" s="224"/>
      <c r="I103" s="225"/>
      <c r="J103" s="219"/>
      <c r="K103" s="185"/>
      <c r="L103" s="230"/>
      <c r="M103" s="182"/>
      <c r="N103" s="185"/>
      <c r="O103" s="185"/>
      <c r="P103" s="186"/>
      <c r="Q103" s="182"/>
      <c r="R103" s="185"/>
      <c r="S103" s="185"/>
      <c r="T103" s="186"/>
      <c r="U103" s="298"/>
      <c r="V103" s="185"/>
      <c r="W103" s="185"/>
      <c r="X103" s="230"/>
      <c r="Y103" s="185"/>
    </row>
    <row r="104" spans="1:26" ht="15" customHeight="1" x14ac:dyDescent="0.3">
      <c r="A104" s="357">
        <v>40</v>
      </c>
      <c r="B104" s="173">
        <v>8</v>
      </c>
      <c r="C104" s="448"/>
      <c r="D104" s="250" t="s">
        <v>391</v>
      </c>
      <c r="E104" s="455"/>
      <c r="F104" s="232" t="s">
        <v>752</v>
      </c>
      <c r="G104" s="200"/>
      <c r="H104" s="224"/>
      <c r="I104" s="225"/>
      <c r="J104" s="219"/>
      <c r="K104" s="185"/>
      <c r="L104" s="230"/>
      <c r="M104" s="182"/>
      <c r="N104" s="185"/>
      <c r="O104" s="185"/>
      <c r="P104" s="186"/>
      <c r="Q104" s="182"/>
      <c r="R104" s="185"/>
      <c r="S104" s="185"/>
      <c r="T104" s="186"/>
      <c r="U104" s="298"/>
      <c r="V104" s="185"/>
      <c r="W104" s="185"/>
      <c r="X104" s="230"/>
      <c r="Y104" s="185"/>
    </row>
    <row r="105" spans="1:26" ht="15" customHeight="1" x14ac:dyDescent="0.3">
      <c r="A105" s="357">
        <v>41</v>
      </c>
      <c r="B105" s="173">
        <v>9</v>
      </c>
      <c r="C105" s="448"/>
      <c r="D105" s="250" t="s">
        <v>392</v>
      </c>
      <c r="E105" s="455"/>
      <c r="F105" s="232" t="s">
        <v>752</v>
      </c>
      <c r="G105" s="200"/>
      <c r="H105" s="224"/>
      <c r="I105" s="225"/>
      <c r="J105" s="219"/>
      <c r="K105" s="185"/>
      <c r="L105" s="230"/>
      <c r="M105" s="182"/>
      <c r="N105" s="185"/>
      <c r="O105" s="185"/>
      <c r="P105" s="186"/>
      <c r="Q105" s="182"/>
      <c r="R105" s="185"/>
      <c r="S105" s="185"/>
      <c r="T105" s="186"/>
      <c r="U105" s="298"/>
      <c r="V105" s="185"/>
      <c r="W105" s="185"/>
      <c r="X105" s="230"/>
      <c r="Y105" s="185"/>
    </row>
    <row r="106" spans="1:26" ht="15" customHeight="1" x14ac:dyDescent="0.3">
      <c r="A106" s="357">
        <v>42</v>
      </c>
      <c r="B106" s="173">
        <v>10</v>
      </c>
      <c r="C106" s="448"/>
      <c r="D106" s="250" t="s">
        <v>393</v>
      </c>
      <c r="E106" s="455"/>
      <c r="F106" s="232" t="s">
        <v>752</v>
      </c>
      <c r="G106" s="200"/>
      <c r="H106" s="224"/>
      <c r="I106" s="225"/>
      <c r="J106" s="219"/>
      <c r="K106" s="185"/>
      <c r="L106" s="230"/>
      <c r="M106" s="182"/>
      <c r="N106" s="185"/>
      <c r="O106" s="185"/>
      <c r="P106" s="186"/>
      <c r="Q106" s="182"/>
      <c r="R106" s="185"/>
      <c r="S106" s="185"/>
      <c r="T106" s="186"/>
      <c r="U106" s="298"/>
      <c r="V106" s="185"/>
      <c r="W106" s="185"/>
      <c r="X106" s="230"/>
      <c r="Y106" s="185"/>
    </row>
    <row r="107" spans="1:26" ht="15" customHeight="1" x14ac:dyDescent="0.3">
      <c r="A107" s="357">
        <v>43</v>
      </c>
      <c r="B107" s="173">
        <v>11</v>
      </c>
      <c r="C107" s="448"/>
      <c r="D107" s="250" t="s">
        <v>394</v>
      </c>
      <c r="E107" s="455"/>
      <c r="F107" s="232" t="s">
        <v>752</v>
      </c>
      <c r="G107" s="200"/>
      <c r="H107" s="224"/>
      <c r="I107" s="225"/>
      <c r="J107" s="219"/>
      <c r="K107" s="185"/>
      <c r="L107" s="230"/>
      <c r="M107" s="182"/>
      <c r="N107" s="185"/>
      <c r="O107" s="185"/>
      <c r="P107" s="186"/>
      <c r="Q107" s="182"/>
      <c r="R107" s="185"/>
      <c r="S107" s="185"/>
      <c r="T107" s="186"/>
      <c r="U107" s="298"/>
      <c r="V107" s="185"/>
      <c r="W107" s="185"/>
      <c r="X107" s="230"/>
      <c r="Y107" s="185"/>
    </row>
    <row r="108" spans="1:26" ht="102" customHeight="1" x14ac:dyDescent="0.3">
      <c r="A108" s="357">
        <v>44</v>
      </c>
      <c r="B108" s="173">
        <v>12</v>
      </c>
      <c r="C108" s="448"/>
      <c r="D108" s="199" t="s">
        <v>395</v>
      </c>
      <c r="E108" s="176">
        <v>12247876</v>
      </c>
      <c r="F108" s="232" t="s">
        <v>752</v>
      </c>
      <c r="G108" s="201"/>
      <c r="H108" s="194"/>
      <c r="I108" s="189"/>
      <c r="J108" s="183"/>
      <c r="K108" s="259"/>
      <c r="L108" s="274"/>
      <c r="M108" s="312"/>
      <c r="N108" s="189"/>
      <c r="O108" s="263"/>
      <c r="P108" s="254"/>
      <c r="Q108" s="264"/>
      <c r="R108" s="263"/>
      <c r="S108" s="263"/>
      <c r="T108" s="254"/>
      <c r="U108" s="298"/>
      <c r="V108" s="185"/>
      <c r="W108" s="185"/>
      <c r="X108" s="230"/>
      <c r="Y108" s="268" t="s">
        <v>786</v>
      </c>
      <c r="Z108" s="291" t="s">
        <v>787</v>
      </c>
    </row>
    <row r="109" spans="1:26" ht="15" customHeight="1" x14ac:dyDescent="0.3">
      <c r="A109" s="357">
        <v>45</v>
      </c>
      <c r="B109" s="173">
        <v>13</v>
      </c>
      <c r="C109" s="447" t="s">
        <v>755</v>
      </c>
      <c r="D109" s="260" t="s">
        <v>711</v>
      </c>
      <c r="E109" s="449"/>
      <c r="F109" s="232" t="s">
        <v>766</v>
      </c>
      <c r="G109" s="202"/>
      <c r="H109" s="181"/>
      <c r="I109" s="189"/>
      <c r="J109" s="183"/>
      <c r="K109" s="183"/>
      <c r="L109" s="306"/>
      <c r="M109" s="182"/>
      <c r="N109" s="185"/>
      <c r="O109" s="185"/>
      <c r="P109" s="186"/>
      <c r="Q109" s="182"/>
      <c r="R109" s="185"/>
      <c r="S109" s="185"/>
      <c r="T109" s="186"/>
      <c r="U109" s="298"/>
      <c r="V109" s="185"/>
      <c r="W109" s="185"/>
      <c r="X109" s="230"/>
      <c r="Y109" s="290"/>
    </row>
    <row r="110" spans="1:26" ht="15" customHeight="1" x14ac:dyDescent="0.3">
      <c r="A110" s="357">
        <v>46</v>
      </c>
      <c r="B110" s="173">
        <v>14</v>
      </c>
      <c r="C110" s="448"/>
      <c r="D110" s="260" t="s">
        <v>712</v>
      </c>
      <c r="E110" s="449"/>
      <c r="F110" s="232" t="s">
        <v>766</v>
      </c>
      <c r="G110" s="202"/>
      <c r="H110" s="181"/>
      <c r="I110" s="189"/>
      <c r="J110" s="183"/>
      <c r="K110" s="183"/>
      <c r="L110" s="305"/>
      <c r="M110" s="182"/>
      <c r="N110" s="185"/>
      <c r="O110" s="185"/>
      <c r="P110" s="186"/>
      <c r="Q110" s="182"/>
      <c r="R110" s="185"/>
      <c r="S110" s="185"/>
      <c r="T110" s="186"/>
      <c r="U110" s="298"/>
      <c r="V110" s="185"/>
      <c r="W110" s="185"/>
      <c r="X110" s="230"/>
      <c r="Y110" s="185"/>
    </row>
    <row r="111" spans="1:26" ht="15" customHeight="1" x14ac:dyDescent="0.3">
      <c r="A111" s="357">
        <v>47</v>
      </c>
      <c r="B111" s="173">
        <v>13</v>
      </c>
      <c r="C111" s="447" t="s">
        <v>100</v>
      </c>
      <c r="D111" s="260" t="s">
        <v>767</v>
      </c>
      <c r="E111" s="449">
        <v>69133391.200000003</v>
      </c>
      <c r="F111" s="177" t="s">
        <v>491</v>
      </c>
      <c r="G111" s="202"/>
      <c r="H111" s="181"/>
      <c r="I111" s="189"/>
      <c r="J111" s="183"/>
      <c r="K111" s="183"/>
      <c r="L111" s="306"/>
      <c r="M111" s="182"/>
      <c r="N111" s="185"/>
      <c r="O111" s="185"/>
      <c r="P111" s="186"/>
      <c r="Q111" s="182"/>
      <c r="R111" s="185"/>
      <c r="S111" s="185"/>
      <c r="T111" s="186"/>
      <c r="U111" s="298"/>
      <c r="V111" s="185"/>
      <c r="W111" s="185"/>
      <c r="X111" s="230"/>
      <c r="Y111" s="185"/>
    </row>
    <row r="112" spans="1:26" ht="15" customHeight="1" x14ac:dyDescent="0.3">
      <c r="A112" s="357">
        <v>48</v>
      </c>
      <c r="B112" s="173">
        <v>14</v>
      </c>
      <c r="C112" s="448"/>
      <c r="D112" s="260" t="s">
        <v>767</v>
      </c>
      <c r="E112" s="449"/>
      <c r="F112" s="177" t="s">
        <v>491</v>
      </c>
      <c r="G112" s="202"/>
      <c r="H112" s="181"/>
      <c r="I112" s="189"/>
      <c r="J112" s="183"/>
      <c r="K112" s="183"/>
      <c r="L112" s="305"/>
      <c r="M112" s="182"/>
      <c r="N112" s="185"/>
      <c r="O112" s="185"/>
      <c r="P112" s="186"/>
      <c r="Q112" s="182"/>
      <c r="R112" s="185"/>
      <c r="S112" s="185"/>
      <c r="T112" s="186"/>
      <c r="U112" s="298"/>
      <c r="V112" s="185"/>
      <c r="W112" s="185"/>
      <c r="X112" s="230"/>
      <c r="Y112" s="185"/>
    </row>
    <row r="113" spans="1:25" x14ac:dyDescent="0.3">
      <c r="A113" s="357">
        <v>49</v>
      </c>
      <c r="B113" s="173">
        <v>15</v>
      </c>
      <c r="C113" s="227" t="s">
        <v>396</v>
      </c>
      <c r="D113" s="261" t="s">
        <v>396</v>
      </c>
      <c r="E113" s="262">
        <v>10000000</v>
      </c>
      <c r="F113" s="232" t="s">
        <v>274</v>
      </c>
      <c r="G113" s="205" t="s">
        <v>547</v>
      </c>
      <c r="H113" s="181"/>
      <c r="I113" s="225"/>
      <c r="J113" s="219"/>
      <c r="K113" s="219"/>
      <c r="L113" s="305"/>
      <c r="M113" s="182"/>
      <c r="N113" s="185"/>
      <c r="O113" s="185"/>
      <c r="P113" s="186"/>
      <c r="Q113" s="182"/>
      <c r="R113" s="185"/>
      <c r="S113" s="185"/>
      <c r="T113" s="186"/>
      <c r="U113" s="298"/>
      <c r="V113" s="185"/>
      <c r="W113" s="185"/>
      <c r="X113" s="230"/>
      <c r="Y113" s="185"/>
    </row>
    <row r="114" spans="1:25" ht="15" customHeight="1" x14ac:dyDescent="0.3">
      <c r="A114" s="357">
        <v>50</v>
      </c>
      <c r="B114" s="173">
        <v>16</v>
      </c>
      <c r="C114" s="447" t="s">
        <v>756</v>
      </c>
      <c r="D114" s="260" t="s">
        <v>760</v>
      </c>
      <c r="E114" s="449"/>
      <c r="F114" s="232" t="s">
        <v>766</v>
      </c>
      <c r="G114" s="200"/>
      <c r="H114" s="181"/>
      <c r="I114" s="182"/>
      <c r="J114" s="185"/>
      <c r="K114" s="185"/>
      <c r="L114" s="230"/>
      <c r="M114" s="189"/>
      <c r="N114" s="183"/>
      <c r="O114" s="183"/>
      <c r="P114" s="184"/>
      <c r="Q114" s="182"/>
      <c r="R114" s="185"/>
      <c r="S114" s="185"/>
      <c r="T114" s="186"/>
      <c r="U114" s="298"/>
      <c r="V114" s="185"/>
      <c r="W114" s="185"/>
      <c r="X114" s="230"/>
      <c r="Y114" s="185"/>
    </row>
    <row r="115" spans="1:25" ht="15" customHeight="1" x14ac:dyDescent="0.3">
      <c r="A115" s="357">
        <v>51</v>
      </c>
      <c r="B115" s="173">
        <v>17</v>
      </c>
      <c r="C115" s="448"/>
      <c r="D115" s="260" t="s">
        <v>761</v>
      </c>
      <c r="E115" s="449"/>
      <c r="F115" s="232" t="s">
        <v>766</v>
      </c>
      <c r="G115" s="202"/>
      <c r="H115" s="181"/>
      <c r="I115" s="182"/>
      <c r="J115" s="185"/>
      <c r="K115" s="185"/>
      <c r="L115" s="230"/>
      <c r="M115" s="189"/>
      <c r="N115" s="183"/>
      <c r="O115" s="183"/>
      <c r="P115" s="184"/>
      <c r="Q115" s="182"/>
      <c r="R115" s="185"/>
      <c r="S115" s="185"/>
      <c r="T115" s="186"/>
      <c r="U115" s="298"/>
      <c r="V115" s="185"/>
      <c r="W115" s="185"/>
      <c r="X115" s="230"/>
      <c r="Y115" s="185"/>
    </row>
    <row r="116" spans="1:25" ht="15" customHeight="1" x14ac:dyDescent="0.3">
      <c r="A116" s="357">
        <v>52</v>
      </c>
      <c r="B116" s="173">
        <v>18</v>
      </c>
      <c r="C116" s="448"/>
      <c r="D116" s="260" t="s">
        <v>762</v>
      </c>
      <c r="E116" s="449"/>
      <c r="F116" s="232" t="s">
        <v>766</v>
      </c>
      <c r="G116" s="202"/>
      <c r="H116" s="181"/>
      <c r="I116" s="182"/>
      <c r="J116" s="185"/>
      <c r="K116" s="185"/>
      <c r="L116" s="230"/>
      <c r="M116" s="189"/>
      <c r="N116" s="183"/>
      <c r="O116" s="183"/>
      <c r="P116" s="184"/>
      <c r="Q116" s="182"/>
      <c r="R116" s="185"/>
      <c r="S116" s="185"/>
      <c r="T116" s="186"/>
      <c r="U116" s="298"/>
      <c r="V116" s="185"/>
      <c r="W116" s="185"/>
      <c r="X116" s="230"/>
      <c r="Y116" s="185"/>
    </row>
    <row r="117" spans="1:25" ht="15" customHeight="1" x14ac:dyDescent="0.3">
      <c r="A117" s="357">
        <v>53</v>
      </c>
      <c r="B117" s="173">
        <v>16</v>
      </c>
      <c r="C117" s="447" t="s">
        <v>152</v>
      </c>
      <c r="D117" s="260" t="s">
        <v>760</v>
      </c>
      <c r="E117" s="449"/>
      <c r="F117" s="177" t="s">
        <v>491</v>
      </c>
      <c r="G117" s="200"/>
      <c r="H117" s="181"/>
      <c r="I117" s="182"/>
      <c r="J117" s="185"/>
      <c r="K117" s="185"/>
      <c r="L117" s="230"/>
      <c r="M117" s="189"/>
      <c r="N117" s="183"/>
      <c r="O117" s="183"/>
      <c r="P117" s="184"/>
      <c r="Q117" s="182"/>
      <c r="R117" s="185"/>
      <c r="S117" s="185"/>
      <c r="T117" s="186"/>
      <c r="U117" s="298"/>
      <c r="V117" s="185"/>
      <c r="W117" s="185"/>
      <c r="X117" s="230"/>
      <c r="Y117" s="185"/>
    </row>
    <row r="118" spans="1:25" ht="15" customHeight="1" x14ac:dyDescent="0.3">
      <c r="A118" s="357">
        <v>54</v>
      </c>
      <c r="B118" s="173">
        <v>17</v>
      </c>
      <c r="C118" s="448"/>
      <c r="D118" s="260" t="s">
        <v>761</v>
      </c>
      <c r="E118" s="449"/>
      <c r="F118" s="177" t="s">
        <v>491</v>
      </c>
      <c r="G118" s="202"/>
      <c r="H118" s="181"/>
      <c r="I118" s="182"/>
      <c r="J118" s="185"/>
      <c r="K118" s="185"/>
      <c r="L118" s="230"/>
      <c r="M118" s="189"/>
      <c r="N118" s="183"/>
      <c r="O118" s="183"/>
      <c r="P118" s="184"/>
      <c r="Q118" s="182"/>
      <c r="R118" s="185"/>
      <c r="S118" s="185"/>
      <c r="T118" s="186"/>
      <c r="U118" s="298"/>
      <c r="V118" s="185"/>
      <c r="W118" s="185"/>
      <c r="X118" s="230"/>
      <c r="Y118" s="185"/>
    </row>
    <row r="119" spans="1:25" ht="15" customHeight="1" x14ac:dyDescent="0.3">
      <c r="A119" s="357">
        <v>55</v>
      </c>
      <c r="B119" s="173">
        <v>18</v>
      </c>
      <c r="C119" s="448"/>
      <c r="D119" s="260" t="s">
        <v>762</v>
      </c>
      <c r="E119" s="449"/>
      <c r="F119" s="177" t="s">
        <v>491</v>
      </c>
      <c r="G119" s="202"/>
      <c r="H119" s="181"/>
      <c r="I119" s="182"/>
      <c r="J119" s="185"/>
      <c r="K119" s="185"/>
      <c r="L119" s="230"/>
      <c r="M119" s="189"/>
      <c r="N119" s="183"/>
      <c r="O119" s="183"/>
      <c r="P119" s="184"/>
      <c r="Q119" s="182"/>
      <c r="R119" s="185"/>
      <c r="S119" s="185"/>
      <c r="T119" s="186"/>
      <c r="U119" s="298"/>
      <c r="V119" s="185"/>
      <c r="W119" s="185"/>
      <c r="X119" s="230"/>
      <c r="Y119" s="185"/>
    </row>
    <row r="120" spans="1:25" ht="15" customHeight="1" x14ac:dyDescent="0.3">
      <c r="A120" s="357">
        <v>56</v>
      </c>
      <c r="B120" s="173">
        <v>19</v>
      </c>
      <c r="C120" s="447" t="s">
        <v>759</v>
      </c>
      <c r="D120" s="199" t="s">
        <v>449</v>
      </c>
      <c r="E120" s="449"/>
      <c r="F120" s="177" t="s">
        <v>764</v>
      </c>
      <c r="G120" s="200"/>
      <c r="H120" s="181"/>
      <c r="I120" s="182"/>
      <c r="J120" s="185"/>
      <c r="K120" s="185"/>
      <c r="L120" s="230"/>
      <c r="M120" s="189"/>
      <c r="N120" s="183"/>
      <c r="O120" s="183"/>
      <c r="P120" s="184"/>
      <c r="Q120" s="182"/>
      <c r="R120" s="185"/>
      <c r="S120" s="185"/>
      <c r="T120" s="186"/>
      <c r="U120" s="298"/>
      <c r="V120" s="185"/>
      <c r="W120" s="185"/>
      <c r="X120" s="230"/>
      <c r="Y120" s="185"/>
    </row>
    <row r="121" spans="1:25" ht="15" customHeight="1" x14ac:dyDescent="0.3">
      <c r="A121" s="357">
        <v>57</v>
      </c>
      <c r="B121" s="173">
        <v>20</v>
      </c>
      <c r="C121" s="448"/>
      <c r="D121" s="199" t="s">
        <v>450</v>
      </c>
      <c r="E121" s="449"/>
      <c r="F121" s="177" t="s">
        <v>764</v>
      </c>
      <c r="G121" s="202"/>
      <c r="H121" s="181"/>
      <c r="I121" s="182"/>
      <c r="J121" s="185"/>
      <c r="K121" s="185"/>
      <c r="L121" s="230"/>
      <c r="M121" s="189"/>
      <c r="N121" s="183"/>
      <c r="O121" s="183"/>
      <c r="P121" s="184"/>
      <c r="Q121" s="182"/>
      <c r="R121" s="185"/>
      <c r="S121" s="185"/>
      <c r="T121" s="186"/>
      <c r="U121" s="298"/>
      <c r="V121" s="185"/>
      <c r="W121" s="185"/>
      <c r="X121" s="230"/>
      <c r="Y121" s="185"/>
    </row>
    <row r="122" spans="1:25" ht="15" customHeight="1" x14ac:dyDescent="0.3">
      <c r="A122" s="357">
        <v>58</v>
      </c>
      <c r="B122" s="173">
        <v>21</v>
      </c>
      <c r="C122" s="448"/>
      <c r="D122" s="199" t="s">
        <v>451</v>
      </c>
      <c r="E122" s="449"/>
      <c r="F122" s="177" t="s">
        <v>764</v>
      </c>
      <c r="G122" s="202"/>
      <c r="H122" s="181"/>
      <c r="I122" s="182"/>
      <c r="J122" s="185"/>
      <c r="K122" s="185"/>
      <c r="L122" s="230"/>
      <c r="M122" s="189"/>
      <c r="N122" s="183"/>
      <c r="O122" s="183"/>
      <c r="P122" s="184"/>
      <c r="Q122" s="182"/>
      <c r="R122" s="185"/>
      <c r="S122" s="185"/>
      <c r="T122" s="186"/>
      <c r="U122" s="298"/>
      <c r="V122" s="185"/>
      <c r="W122" s="185"/>
      <c r="X122" s="230"/>
      <c r="Y122" s="185"/>
    </row>
    <row r="123" spans="1:25" ht="15" customHeight="1" x14ac:dyDescent="0.3">
      <c r="A123" s="357">
        <v>59</v>
      </c>
      <c r="B123" s="173">
        <v>22</v>
      </c>
      <c r="C123" s="448"/>
      <c r="D123" s="199" t="s">
        <v>156</v>
      </c>
      <c r="E123" s="449"/>
      <c r="F123" s="177" t="s">
        <v>764</v>
      </c>
      <c r="G123" s="202"/>
      <c r="H123" s="181"/>
      <c r="I123" s="182"/>
      <c r="J123" s="185"/>
      <c r="K123" s="185"/>
      <c r="L123" s="230"/>
      <c r="M123" s="189"/>
      <c r="N123" s="183"/>
      <c r="O123" s="183"/>
      <c r="P123" s="184"/>
      <c r="Q123" s="182"/>
      <c r="R123" s="185"/>
      <c r="S123" s="185"/>
      <c r="T123" s="186"/>
      <c r="U123" s="298"/>
      <c r="V123" s="185"/>
      <c r="W123" s="185"/>
      <c r="X123" s="230"/>
      <c r="Y123" s="185"/>
    </row>
    <row r="124" spans="1:25" ht="15" customHeight="1" x14ac:dyDescent="0.3">
      <c r="A124" s="357">
        <v>60</v>
      </c>
      <c r="B124" s="173">
        <v>23</v>
      </c>
      <c r="C124" s="448"/>
      <c r="D124" s="199" t="s">
        <v>157</v>
      </c>
      <c r="E124" s="449"/>
      <c r="F124" s="177" t="s">
        <v>764</v>
      </c>
      <c r="G124" s="202"/>
      <c r="H124" s="181"/>
      <c r="I124" s="182"/>
      <c r="J124" s="185"/>
      <c r="K124" s="185"/>
      <c r="L124" s="230"/>
      <c r="M124" s="189"/>
      <c r="N124" s="183"/>
      <c r="O124" s="183"/>
      <c r="P124" s="184"/>
      <c r="Q124" s="182"/>
      <c r="R124" s="185"/>
      <c r="S124" s="185"/>
      <c r="T124" s="186"/>
      <c r="U124" s="298"/>
      <c r="V124" s="185"/>
      <c r="W124" s="185"/>
      <c r="X124" s="230"/>
      <c r="Y124" s="185"/>
    </row>
    <row r="125" spans="1:25" ht="15" customHeight="1" x14ac:dyDescent="0.3">
      <c r="A125" s="357">
        <v>61</v>
      </c>
      <c r="B125" s="173">
        <v>19</v>
      </c>
      <c r="C125" s="447" t="s">
        <v>448</v>
      </c>
      <c r="D125" s="199" t="s">
        <v>449</v>
      </c>
      <c r="E125" s="449">
        <v>55056282</v>
      </c>
      <c r="F125" s="177" t="s">
        <v>764</v>
      </c>
      <c r="G125" s="200"/>
      <c r="H125" s="181"/>
      <c r="I125" s="182"/>
      <c r="J125" s="185"/>
      <c r="K125" s="185"/>
      <c r="L125" s="230"/>
      <c r="M125" s="189"/>
      <c r="N125" s="183"/>
      <c r="O125" s="183"/>
      <c r="P125" s="184"/>
      <c r="Q125" s="182"/>
      <c r="R125" s="185"/>
      <c r="S125" s="185"/>
      <c r="T125" s="186"/>
      <c r="U125" s="298"/>
      <c r="V125" s="185"/>
      <c r="W125" s="185"/>
      <c r="X125" s="230"/>
      <c r="Y125" s="185"/>
    </row>
    <row r="126" spans="1:25" ht="15" customHeight="1" x14ac:dyDescent="0.3">
      <c r="A126" s="357">
        <v>62</v>
      </c>
      <c r="B126" s="173">
        <v>20</v>
      </c>
      <c r="C126" s="448"/>
      <c r="D126" s="199" t="s">
        <v>450</v>
      </c>
      <c r="E126" s="449"/>
      <c r="F126" s="177" t="s">
        <v>764</v>
      </c>
      <c r="G126" s="202"/>
      <c r="H126" s="181"/>
      <c r="I126" s="182"/>
      <c r="J126" s="185"/>
      <c r="K126" s="185"/>
      <c r="L126" s="230"/>
      <c r="M126" s="189"/>
      <c r="N126" s="183"/>
      <c r="O126" s="183"/>
      <c r="P126" s="184"/>
      <c r="Q126" s="182"/>
      <c r="R126" s="185"/>
      <c r="S126" s="185"/>
      <c r="T126" s="186"/>
      <c r="U126" s="298"/>
      <c r="V126" s="185"/>
      <c r="W126" s="185"/>
      <c r="X126" s="230"/>
      <c r="Y126" s="185"/>
    </row>
    <row r="127" spans="1:25" ht="15" customHeight="1" x14ac:dyDescent="0.3">
      <c r="A127" s="357">
        <v>63</v>
      </c>
      <c r="B127" s="173">
        <v>21</v>
      </c>
      <c r="C127" s="448"/>
      <c r="D127" s="199" t="s">
        <v>451</v>
      </c>
      <c r="E127" s="449"/>
      <c r="F127" s="177" t="s">
        <v>764</v>
      </c>
      <c r="G127" s="202"/>
      <c r="H127" s="181"/>
      <c r="I127" s="182"/>
      <c r="J127" s="185"/>
      <c r="K127" s="185"/>
      <c r="L127" s="230"/>
      <c r="M127" s="189"/>
      <c r="N127" s="183"/>
      <c r="O127" s="183"/>
      <c r="P127" s="184"/>
      <c r="Q127" s="182"/>
      <c r="R127" s="185"/>
      <c r="S127" s="185"/>
      <c r="T127" s="186"/>
      <c r="U127" s="298"/>
      <c r="V127" s="185"/>
      <c r="W127" s="185"/>
      <c r="X127" s="230"/>
      <c r="Y127" s="185"/>
    </row>
    <row r="128" spans="1:25" ht="15" customHeight="1" x14ac:dyDescent="0.3">
      <c r="A128" s="357">
        <v>64</v>
      </c>
      <c r="B128" s="173">
        <v>22</v>
      </c>
      <c r="C128" s="448"/>
      <c r="D128" s="199" t="s">
        <v>156</v>
      </c>
      <c r="E128" s="449"/>
      <c r="F128" s="177" t="s">
        <v>764</v>
      </c>
      <c r="G128" s="202"/>
      <c r="H128" s="181"/>
      <c r="I128" s="182"/>
      <c r="J128" s="185"/>
      <c r="K128" s="185"/>
      <c r="L128" s="230"/>
      <c r="M128" s="189"/>
      <c r="N128" s="183"/>
      <c r="O128" s="183"/>
      <c r="P128" s="184"/>
      <c r="Q128" s="182"/>
      <c r="R128" s="185"/>
      <c r="S128" s="185"/>
      <c r="T128" s="186"/>
      <c r="U128" s="298"/>
      <c r="V128" s="185"/>
      <c r="W128" s="185"/>
      <c r="X128" s="230"/>
      <c r="Y128" s="185"/>
    </row>
    <row r="129" spans="1:25" ht="15" customHeight="1" x14ac:dyDescent="0.3">
      <c r="A129" s="357">
        <v>65</v>
      </c>
      <c r="B129" s="173">
        <v>23</v>
      </c>
      <c r="C129" s="448"/>
      <c r="D129" s="199" t="s">
        <v>157</v>
      </c>
      <c r="E129" s="449"/>
      <c r="F129" s="177" t="s">
        <v>764</v>
      </c>
      <c r="G129" s="202"/>
      <c r="H129" s="181"/>
      <c r="I129" s="182"/>
      <c r="J129" s="185"/>
      <c r="K129" s="185"/>
      <c r="L129" s="230"/>
      <c r="M129" s="189"/>
      <c r="N129" s="183"/>
      <c r="O129" s="183"/>
      <c r="P129" s="184"/>
      <c r="Q129" s="182"/>
      <c r="R129" s="185"/>
      <c r="S129" s="185"/>
      <c r="T129" s="186"/>
      <c r="U129" s="298"/>
      <c r="V129" s="185"/>
      <c r="W129" s="185"/>
      <c r="X129" s="230"/>
      <c r="Y129" s="185"/>
    </row>
    <row r="130" spans="1:25" ht="15" customHeight="1" x14ac:dyDescent="0.3">
      <c r="A130" s="357">
        <v>66</v>
      </c>
      <c r="B130" s="173">
        <v>24</v>
      </c>
      <c r="C130" s="447" t="s">
        <v>378</v>
      </c>
      <c r="D130" s="199" t="s">
        <v>379</v>
      </c>
      <c r="E130" s="459">
        <f>184497492+31916560</f>
        <v>216414052</v>
      </c>
      <c r="F130" s="232" t="s">
        <v>274</v>
      </c>
      <c r="G130" s="200"/>
      <c r="H130" s="181"/>
      <c r="I130" s="189"/>
      <c r="J130" s="183"/>
      <c r="K130" s="259"/>
      <c r="L130" s="297"/>
      <c r="M130" s="264"/>
      <c r="N130" s="264"/>
      <c r="O130" s="264"/>
      <c r="P130" s="313"/>
      <c r="Q130" s="264"/>
      <c r="R130" s="263"/>
      <c r="S130" s="263"/>
      <c r="T130" s="254"/>
      <c r="U130" s="298"/>
      <c r="V130" s="185"/>
      <c r="W130" s="185"/>
      <c r="X130" s="230"/>
      <c r="Y130" s="185"/>
    </row>
    <row r="131" spans="1:25" ht="15" customHeight="1" x14ac:dyDescent="0.3">
      <c r="A131" s="357">
        <v>67</v>
      </c>
      <c r="B131" s="173">
        <v>25</v>
      </c>
      <c r="C131" s="448"/>
      <c r="D131" s="199" t="s">
        <v>59</v>
      </c>
      <c r="E131" s="459"/>
      <c r="F131" s="232" t="s">
        <v>274</v>
      </c>
      <c r="G131" s="202"/>
      <c r="H131" s="181"/>
      <c r="I131" s="189"/>
      <c r="J131" s="183"/>
      <c r="K131" s="259"/>
      <c r="L131" s="297"/>
      <c r="M131" s="264"/>
      <c r="N131" s="264"/>
      <c r="O131" s="264"/>
      <c r="P131" s="254"/>
      <c r="Q131" s="264"/>
      <c r="R131" s="263"/>
      <c r="S131" s="263"/>
      <c r="T131" s="254"/>
      <c r="U131" s="298"/>
      <c r="V131" s="185"/>
      <c r="W131" s="185"/>
      <c r="X131" s="230"/>
      <c r="Y131" s="185"/>
    </row>
    <row r="132" spans="1:25" ht="15" customHeight="1" x14ac:dyDescent="0.3">
      <c r="A132" s="357">
        <v>68</v>
      </c>
      <c r="B132" s="173">
        <v>26</v>
      </c>
      <c r="C132" s="448"/>
      <c r="D132" s="199" t="s">
        <v>380</v>
      </c>
      <c r="E132" s="459"/>
      <c r="F132" s="232" t="s">
        <v>274</v>
      </c>
      <c r="G132" s="202"/>
      <c r="H132" s="181"/>
      <c r="I132" s="189"/>
      <c r="J132" s="183"/>
      <c r="K132" s="259"/>
      <c r="L132" s="297"/>
      <c r="M132" s="264"/>
      <c r="N132" s="264"/>
      <c r="O132" s="264"/>
      <c r="P132" s="254"/>
      <c r="Q132" s="264"/>
      <c r="R132" s="263"/>
      <c r="S132" s="263"/>
      <c r="T132" s="254"/>
      <c r="U132" s="298"/>
      <c r="V132" s="185"/>
      <c r="W132" s="185"/>
      <c r="X132" s="230"/>
      <c r="Y132" s="185"/>
    </row>
    <row r="133" spans="1:25" ht="15" customHeight="1" x14ac:dyDescent="0.3">
      <c r="A133" s="357">
        <v>69</v>
      </c>
      <c r="B133" s="173">
        <v>27</v>
      </c>
      <c r="C133" s="448"/>
      <c r="D133" s="199" t="s">
        <v>381</v>
      </c>
      <c r="E133" s="459"/>
      <c r="F133" s="232" t="s">
        <v>274</v>
      </c>
      <c r="G133" s="202"/>
      <c r="H133" s="181"/>
      <c r="I133" s="189"/>
      <c r="J133" s="183"/>
      <c r="K133" s="259"/>
      <c r="L133" s="297"/>
      <c r="M133" s="264"/>
      <c r="N133" s="264"/>
      <c r="O133" s="264"/>
      <c r="P133" s="254"/>
      <c r="Q133" s="264"/>
      <c r="R133" s="263"/>
      <c r="S133" s="263"/>
      <c r="T133" s="254"/>
      <c r="U133" s="298"/>
      <c r="V133" s="185"/>
      <c r="W133" s="185"/>
      <c r="X133" s="230"/>
      <c r="Y133" s="185"/>
    </row>
    <row r="134" spans="1:25" ht="15" customHeight="1" x14ac:dyDescent="0.3">
      <c r="A134" s="357">
        <v>70</v>
      </c>
      <c r="B134" s="173">
        <v>28</v>
      </c>
      <c r="C134" s="448"/>
      <c r="D134" s="199" t="s">
        <v>382</v>
      </c>
      <c r="E134" s="459"/>
      <c r="F134" s="232" t="s">
        <v>274</v>
      </c>
      <c r="G134" s="202"/>
      <c r="H134" s="181"/>
      <c r="I134" s="189"/>
      <c r="J134" s="183"/>
      <c r="K134" s="259"/>
      <c r="L134" s="297"/>
      <c r="M134" s="264"/>
      <c r="N134" s="264"/>
      <c r="O134" s="264"/>
      <c r="P134" s="254"/>
      <c r="Q134" s="264"/>
      <c r="R134" s="263"/>
      <c r="S134" s="263"/>
      <c r="T134" s="254"/>
      <c r="U134" s="298"/>
      <c r="V134" s="185"/>
      <c r="W134" s="185"/>
      <c r="X134" s="230"/>
      <c r="Y134" s="185"/>
    </row>
    <row r="135" spans="1:25" ht="15" customHeight="1" x14ac:dyDescent="0.3">
      <c r="A135" s="357">
        <v>71</v>
      </c>
      <c r="B135" s="173">
        <v>29</v>
      </c>
      <c r="C135" s="448"/>
      <c r="D135" s="199" t="s">
        <v>383</v>
      </c>
      <c r="E135" s="459"/>
      <c r="F135" s="232" t="s">
        <v>274</v>
      </c>
      <c r="G135" s="202"/>
      <c r="H135" s="181"/>
      <c r="I135" s="189"/>
      <c r="J135" s="183"/>
      <c r="K135" s="259"/>
      <c r="L135" s="297"/>
      <c r="M135" s="264"/>
      <c r="N135" s="264"/>
      <c r="O135" s="264"/>
      <c r="P135" s="254"/>
      <c r="Q135" s="264"/>
      <c r="R135" s="263"/>
      <c r="S135" s="263"/>
      <c r="T135" s="254"/>
      <c r="U135" s="298"/>
      <c r="V135" s="185"/>
      <c r="W135" s="185"/>
      <c r="X135" s="230"/>
      <c r="Y135" s="185"/>
    </row>
    <row r="136" spans="1:25" ht="15" customHeight="1" x14ac:dyDescent="0.3">
      <c r="A136" s="357">
        <v>72</v>
      </c>
      <c r="B136" s="173">
        <v>30</v>
      </c>
      <c r="C136" s="448"/>
      <c r="D136" s="199" t="s">
        <v>384</v>
      </c>
      <c r="E136" s="459"/>
      <c r="F136" s="232" t="s">
        <v>274</v>
      </c>
      <c r="G136" s="202"/>
      <c r="H136" s="181"/>
      <c r="I136" s="189"/>
      <c r="J136" s="183"/>
      <c r="K136" s="259"/>
      <c r="L136" s="297"/>
      <c r="M136" s="264"/>
      <c r="N136" s="264"/>
      <c r="O136" s="264"/>
      <c r="P136" s="254"/>
      <c r="Q136" s="264"/>
      <c r="R136" s="263"/>
      <c r="S136" s="263"/>
      <c r="T136" s="254"/>
      <c r="U136" s="298"/>
      <c r="V136" s="185"/>
      <c r="W136" s="185"/>
      <c r="X136" s="230"/>
      <c r="Y136" s="185"/>
    </row>
    <row r="137" spans="1:25" ht="15" customHeight="1" x14ac:dyDescent="0.3">
      <c r="A137" s="357">
        <v>73</v>
      </c>
      <c r="B137" s="173">
        <v>31</v>
      </c>
      <c r="C137" s="448"/>
      <c r="D137" s="199" t="s">
        <v>60</v>
      </c>
      <c r="E137" s="459"/>
      <c r="F137" s="232" t="s">
        <v>274</v>
      </c>
      <c r="G137" s="202"/>
      <c r="H137" s="181"/>
      <c r="I137" s="189"/>
      <c r="J137" s="183"/>
      <c r="K137" s="259"/>
      <c r="L137" s="297"/>
      <c r="M137" s="264"/>
      <c r="N137" s="264"/>
      <c r="O137" s="264"/>
      <c r="P137" s="254"/>
      <c r="Q137" s="264"/>
      <c r="R137" s="263"/>
      <c r="S137" s="263"/>
      <c r="T137" s="254"/>
      <c r="U137" s="298"/>
      <c r="V137" s="185"/>
      <c r="W137" s="185"/>
      <c r="X137" s="230"/>
      <c r="Y137" s="185"/>
    </row>
    <row r="138" spans="1:25" ht="15" customHeight="1" x14ac:dyDescent="0.3">
      <c r="A138" s="357">
        <v>74</v>
      </c>
      <c r="B138" s="173">
        <v>32</v>
      </c>
      <c r="C138" s="448"/>
      <c r="D138" s="199" t="s">
        <v>385</v>
      </c>
      <c r="E138" s="459"/>
      <c r="F138" s="232" t="s">
        <v>274</v>
      </c>
      <c r="G138" s="202"/>
      <c r="H138" s="181"/>
      <c r="I138" s="189"/>
      <c r="J138" s="183"/>
      <c r="K138" s="259"/>
      <c r="L138" s="297"/>
      <c r="M138" s="264"/>
      <c r="N138" s="264"/>
      <c r="O138" s="264"/>
      <c r="P138" s="254"/>
      <c r="Q138" s="264"/>
      <c r="R138" s="263"/>
      <c r="S138" s="263"/>
      <c r="T138" s="254"/>
      <c r="U138" s="298"/>
      <c r="V138" s="185"/>
      <c r="W138" s="185"/>
      <c r="X138" s="230"/>
      <c r="Y138" s="185"/>
    </row>
    <row r="139" spans="1:25" ht="15" customHeight="1" x14ac:dyDescent="0.3">
      <c r="A139" s="357">
        <v>75</v>
      </c>
      <c r="B139" s="173">
        <v>33</v>
      </c>
      <c r="C139" s="447" t="s">
        <v>414</v>
      </c>
      <c r="D139" s="204" t="s">
        <v>415</v>
      </c>
      <c r="E139" s="449">
        <v>1056756280</v>
      </c>
      <c r="F139" s="177" t="s">
        <v>764</v>
      </c>
      <c r="G139" s="200"/>
      <c r="H139" s="181"/>
      <c r="I139" s="182"/>
      <c r="J139" s="185"/>
      <c r="K139" s="185"/>
      <c r="L139" s="230"/>
      <c r="M139" s="182"/>
      <c r="N139" s="185"/>
      <c r="O139" s="183"/>
      <c r="P139" s="184"/>
      <c r="Q139" s="189"/>
      <c r="R139" s="183"/>
      <c r="S139" s="185"/>
      <c r="T139" s="186"/>
      <c r="U139" s="298"/>
      <c r="V139" s="185"/>
      <c r="W139" s="185"/>
      <c r="X139" s="230"/>
      <c r="Y139" s="185"/>
    </row>
    <row r="140" spans="1:25" ht="15" customHeight="1" x14ac:dyDescent="0.3">
      <c r="A140" s="357">
        <v>76</v>
      </c>
      <c r="B140" s="173">
        <v>34</v>
      </c>
      <c r="C140" s="448"/>
      <c r="D140" s="204" t="s">
        <v>417</v>
      </c>
      <c r="E140" s="449"/>
      <c r="F140" s="177" t="s">
        <v>764</v>
      </c>
      <c r="G140" s="202"/>
      <c r="H140" s="181"/>
      <c r="I140" s="182"/>
      <c r="J140" s="185"/>
      <c r="K140" s="185"/>
      <c r="L140" s="230"/>
      <c r="M140" s="182"/>
      <c r="N140" s="185"/>
      <c r="O140" s="183"/>
      <c r="P140" s="184"/>
      <c r="Q140" s="189"/>
      <c r="R140" s="183"/>
      <c r="S140" s="185"/>
      <c r="T140" s="186"/>
      <c r="U140" s="298"/>
      <c r="V140" s="185"/>
      <c r="W140" s="185"/>
      <c r="X140" s="230"/>
      <c r="Y140" s="185"/>
    </row>
    <row r="141" spans="1:25" ht="15" customHeight="1" x14ac:dyDescent="0.3">
      <c r="A141" s="357">
        <v>77</v>
      </c>
      <c r="B141" s="173">
        <v>35</v>
      </c>
      <c r="C141" s="448"/>
      <c r="D141" s="204" t="s">
        <v>418</v>
      </c>
      <c r="E141" s="449"/>
      <c r="F141" s="177" t="s">
        <v>764</v>
      </c>
      <c r="G141" s="202"/>
      <c r="H141" s="181"/>
      <c r="I141" s="182"/>
      <c r="J141" s="185"/>
      <c r="K141" s="185"/>
      <c r="L141" s="230"/>
      <c r="M141" s="182"/>
      <c r="N141" s="185"/>
      <c r="O141" s="183"/>
      <c r="P141" s="184"/>
      <c r="Q141" s="189"/>
      <c r="R141" s="183"/>
      <c r="S141" s="185"/>
      <c r="T141" s="186"/>
      <c r="U141" s="298"/>
      <c r="V141" s="185"/>
      <c r="W141" s="185"/>
      <c r="X141" s="230"/>
      <c r="Y141" s="185"/>
    </row>
    <row r="142" spans="1:25" ht="15" customHeight="1" x14ac:dyDescent="0.3">
      <c r="A142" s="357">
        <v>78</v>
      </c>
      <c r="B142" s="173">
        <v>36</v>
      </c>
      <c r="C142" s="448"/>
      <c r="D142" s="275" t="s">
        <v>763</v>
      </c>
      <c r="E142" s="449"/>
      <c r="F142" s="177" t="s">
        <v>764</v>
      </c>
      <c r="G142" s="202"/>
      <c r="H142" s="181"/>
      <c r="I142" s="182"/>
      <c r="J142" s="185"/>
      <c r="K142" s="185"/>
      <c r="L142" s="230"/>
      <c r="M142" s="182"/>
      <c r="N142" s="185"/>
      <c r="O142" s="183"/>
      <c r="P142" s="184"/>
      <c r="Q142" s="189"/>
      <c r="R142" s="183"/>
      <c r="S142" s="185"/>
      <c r="T142" s="186"/>
      <c r="U142" s="298"/>
      <c r="V142" s="185"/>
      <c r="W142" s="185"/>
      <c r="X142" s="230"/>
      <c r="Y142" s="185"/>
    </row>
    <row r="143" spans="1:25" ht="15" customHeight="1" x14ac:dyDescent="0.3">
      <c r="A143" s="357">
        <v>79</v>
      </c>
      <c r="B143" s="173">
        <v>37</v>
      </c>
      <c r="C143" s="448"/>
      <c r="D143" s="199" t="s">
        <v>420</v>
      </c>
      <c r="E143" s="449"/>
      <c r="F143" s="177" t="s">
        <v>764</v>
      </c>
      <c r="G143" s="202"/>
      <c r="H143" s="181"/>
      <c r="I143" s="182"/>
      <c r="J143" s="185"/>
      <c r="K143" s="185"/>
      <c r="L143" s="230"/>
      <c r="M143" s="182"/>
      <c r="N143" s="185"/>
      <c r="O143" s="183"/>
      <c r="P143" s="184"/>
      <c r="Q143" s="189"/>
      <c r="R143" s="183"/>
      <c r="S143" s="185"/>
      <c r="T143" s="186"/>
      <c r="U143" s="298"/>
      <c r="V143" s="185"/>
      <c r="W143" s="185"/>
      <c r="X143" s="230"/>
      <c r="Y143" s="185"/>
    </row>
    <row r="144" spans="1:25" ht="15" customHeight="1" x14ac:dyDescent="0.3">
      <c r="A144" s="357">
        <v>80</v>
      </c>
      <c r="B144" s="173">
        <v>38</v>
      </c>
      <c r="C144" s="448"/>
      <c r="D144" s="199" t="s">
        <v>421</v>
      </c>
      <c r="E144" s="449"/>
      <c r="F144" s="177" t="s">
        <v>764</v>
      </c>
      <c r="G144" s="202"/>
      <c r="H144" s="181"/>
      <c r="I144" s="182"/>
      <c r="J144" s="185"/>
      <c r="K144" s="185"/>
      <c r="L144" s="230"/>
      <c r="M144" s="182"/>
      <c r="N144" s="185"/>
      <c r="O144" s="183"/>
      <c r="P144" s="184"/>
      <c r="Q144" s="189"/>
      <c r="R144" s="183"/>
      <c r="S144" s="185"/>
      <c r="T144" s="186"/>
      <c r="U144" s="298"/>
      <c r="V144" s="185"/>
      <c r="W144" s="185"/>
      <c r="X144" s="230"/>
      <c r="Y144" s="185"/>
    </row>
    <row r="145" spans="1:25" ht="15" customHeight="1" x14ac:dyDescent="0.3">
      <c r="A145" s="357">
        <v>81</v>
      </c>
      <c r="B145" s="173">
        <v>39</v>
      </c>
      <c r="C145" s="448"/>
      <c r="D145" s="199" t="s">
        <v>422</v>
      </c>
      <c r="E145" s="449"/>
      <c r="F145" s="177" t="s">
        <v>764</v>
      </c>
      <c r="G145" s="202"/>
      <c r="H145" s="181"/>
      <c r="I145" s="182"/>
      <c r="J145" s="185"/>
      <c r="K145" s="185"/>
      <c r="L145" s="230"/>
      <c r="M145" s="182"/>
      <c r="N145" s="185"/>
      <c r="O145" s="183"/>
      <c r="P145" s="184"/>
      <c r="Q145" s="189"/>
      <c r="R145" s="183"/>
      <c r="S145" s="185"/>
      <c r="T145" s="186"/>
      <c r="U145" s="298"/>
      <c r="V145" s="185"/>
      <c r="W145" s="185"/>
      <c r="X145" s="230"/>
      <c r="Y145" s="185"/>
    </row>
    <row r="146" spans="1:25" ht="15" customHeight="1" x14ac:dyDescent="0.3">
      <c r="A146" s="357">
        <v>82</v>
      </c>
      <c r="B146" s="173">
        <v>40</v>
      </c>
      <c r="C146" s="448"/>
      <c r="D146" s="199" t="s">
        <v>423</v>
      </c>
      <c r="E146" s="449"/>
      <c r="F146" s="177" t="s">
        <v>764</v>
      </c>
      <c r="G146" s="202"/>
      <c r="H146" s="181"/>
      <c r="I146" s="182"/>
      <c r="J146" s="185"/>
      <c r="K146" s="185"/>
      <c r="L146" s="230"/>
      <c r="M146" s="182"/>
      <c r="N146" s="185"/>
      <c r="O146" s="183"/>
      <c r="P146" s="184"/>
      <c r="Q146" s="189"/>
      <c r="R146" s="183"/>
      <c r="S146" s="185"/>
      <c r="T146" s="186"/>
      <c r="U146" s="298"/>
      <c r="V146" s="185"/>
      <c r="W146" s="185"/>
      <c r="X146" s="230"/>
      <c r="Y146" s="185"/>
    </row>
    <row r="147" spans="1:25" ht="15" customHeight="1" x14ac:dyDescent="0.3">
      <c r="A147" s="357">
        <v>83</v>
      </c>
      <c r="B147" s="173">
        <v>41</v>
      </c>
      <c r="C147" s="448"/>
      <c r="D147" s="199" t="s">
        <v>424</v>
      </c>
      <c r="E147" s="449"/>
      <c r="F147" s="177" t="s">
        <v>764</v>
      </c>
      <c r="G147" s="202"/>
      <c r="H147" s="181"/>
      <c r="I147" s="182"/>
      <c r="J147" s="185"/>
      <c r="K147" s="185"/>
      <c r="L147" s="230"/>
      <c r="M147" s="182"/>
      <c r="N147" s="185"/>
      <c r="O147" s="183"/>
      <c r="P147" s="184"/>
      <c r="Q147" s="189"/>
      <c r="R147" s="183"/>
      <c r="S147" s="185"/>
      <c r="T147" s="186"/>
      <c r="U147" s="298"/>
      <c r="V147" s="185"/>
      <c r="W147" s="185"/>
      <c r="X147" s="230"/>
      <c r="Y147" s="185"/>
    </row>
    <row r="148" spans="1:25" ht="15" customHeight="1" x14ac:dyDescent="0.3">
      <c r="A148" s="357">
        <v>84</v>
      </c>
      <c r="B148" s="173">
        <v>42</v>
      </c>
      <c r="C148" s="448"/>
      <c r="D148" s="199" t="s">
        <v>425</v>
      </c>
      <c r="E148" s="449"/>
      <c r="F148" s="177" t="s">
        <v>764</v>
      </c>
      <c r="G148" s="202"/>
      <c r="H148" s="181"/>
      <c r="I148" s="182"/>
      <c r="J148" s="185"/>
      <c r="K148" s="185"/>
      <c r="L148" s="230"/>
      <c r="M148" s="182"/>
      <c r="N148" s="185"/>
      <c r="O148" s="183"/>
      <c r="P148" s="184"/>
      <c r="Q148" s="189"/>
      <c r="R148" s="183"/>
      <c r="S148" s="185"/>
      <c r="T148" s="186"/>
      <c r="U148" s="298"/>
      <c r="V148" s="185"/>
      <c r="W148" s="185"/>
      <c r="X148" s="230"/>
      <c r="Y148" s="185"/>
    </row>
    <row r="149" spans="1:25" ht="15" customHeight="1" x14ac:dyDescent="0.3">
      <c r="A149" s="357">
        <v>85</v>
      </c>
      <c r="B149" s="173">
        <v>43</v>
      </c>
      <c r="C149" s="448"/>
      <c r="D149" s="199" t="s">
        <v>426</v>
      </c>
      <c r="E149" s="449"/>
      <c r="F149" s="177" t="s">
        <v>764</v>
      </c>
      <c r="G149" s="202"/>
      <c r="H149" s="181"/>
      <c r="I149" s="182"/>
      <c r="J149" s="185"/>
      <c r="K149" s="185"/>
      <c r="L149" s="230"/>
      <c r="M149" s="182"/>
      <c r="N149" s="185"/>
      <c r="O149" s="183"/>
      <c r="P149" s="184"/>
      <c r="Q149" s="189"/>
      <c r="R149" s="183"/>
      <c r="S149" s="185"/>
      <c r="T149" s="186"/>
      <c r="U149" s="298"/>
      <c r="V149" s="185"/>
      <c r="W149" s="185"/>
      <c r="X149" s="230"/>
      <c r="Y149" s="185"/>
    </row>
    <row r="150" spans="1:25" ht="15" customHeight="1" x14ac:dyDescent="0.3">
      <c r="A150" s="357">
        <v>86</v>
      </c>
      <c r="B150" s="173">
        <v>44</v>
      </c>
      <c r="C150" s="447" t="s">
        <v>427</v>
      </c>
      <c r="D150" s="199" t="s">
        <v>428</v>
      </c>
      <c r="E150" s="449"/>
      <c r="F150" s="177" t="s">
        <v>764</v>
      </c>
      <c r="G150" s="202"/>
      <c r="H150" s="181"/>
      <c r="I150" s="182"/>
      <c r="J150" s="185"/>
      <c r="K150" s="185"/>
      <c r="L150" s="230"/>
      <c r="M150" s="182"/>
      <c r="N150" s="185"/>
      <c r="O150" s="185"/>
      <c r="P150" s="186"/>
      <c r="Q150" s="182"/>
      <c r="R150" s="183"/>
      <c r="S150" s="183"/>
      <c r="T150" s="184"/>
      <c r="U150" s="298"/>
      <c r="V150" s="185"/>
      <c r="W150" s="185"/>
      <c r="X150" s="230"/>
      <c r="Y150" s="185"/>
    </row>
    <row r="151" spans="1:25" ht="15" customHeight="1" x14ac:dyDescent="0.3">
      <c r="A151" s="357">
        <v>87</v>
      </c>
      <c r="B151" s="173">
        <v>45</v>
      </c>
      <c r="C151" s="448"/>
      <c r="D151" s="199" t="s">
        <v>429</v>
      </c>
      <c r="E151" s="449"/>
      <c r="F151" s="177" t="s">
        <v>764</v>
      </c>
      <c r="G151" s="202"/>
      <c r="H151" s="181"/>
      <c r="I151" s="182"/>
      <c r="J151" s="185"/>
      <c r="K151" s="185"/>
      <c r="L151" s="230"/>
      <c r="M151" s="182"/>
      <c r="N151" s="185"/>
      <c r="O151" s="185"/>
      <c r="P151" s="186"/>
      <c r="Q151" s="182"/>
      <c r="R151" s="183"/>
      <c r="S151" s="183"/>
      <c r="T151" s="184"/>
      <c r="U151" s="298"/>
      <c r="V151" s="185"/>
      <c r="W151" s="185"/>
      <c r="X151" s="230"/>
      <c r="Y151" s="185"/>
    </row>
    <row r="152" spans="1:25" ht="15" customHeight="1" x14ac:dyDescent="0.3">
      <c r="A152" s="357">
        <v>88</v>
      </c>
      <c r="B152" s="173">
        <v>46</v>
      </c>
      <c r="C152" s="448"/>
      <c r="D152" s="199" t="s">
        <v>430</v>
      </c>
      <c r="E152" s="449"/>
      <c r="F152" s="177" t="s">
        <v>764</v>
      </c>
      <c r="G152" s="202"/>
      <c r="H152" s="181"/>
      <c r="I152" s="182"/>
      <c r="J152" s="185"/>
      <c r="K152" s="185"/>
      <c r="L152" s="230"/>
      <c r="M152" s="182"/>
      <c r="N152" s="185"/>
      <c r="O152" s="185"/>
      <c r="P152" s="186"/>
      <c r="Q152" s="182"/>
      <c r="R152" s="183"/>
      <c r="S152" s="183"/>
      <c r="T152" s="184"/>
      <c r="U152" s="298"/>
      <c r="V152" s="185"/>
      <c r="W152" s="185"/>
      <c r="X152" s="230"/>
      <c r="Y152" s="185"/>
    </row>
    <row r="153" spans="1:25" ht="15" customHeight="1" x14ac:dyDescent="0.3">
      <c r="A153" s="357">
        <v>89</v>
      </c>
      <c r="B153" s="173">
        <v>47</v>
      </c>
      <c r="C153" s="448"/>
      <c r="D153" s="199" t="s">
        <v>431</v>
      </c>
      <c r="E153" s="449"/>
      <c r="F153" s="177" t="s">
        <v>764</v>
      </c>
      <c r="G153" s="202"/>
      <c r="H153" s="181"/>
      <c r="I153" s="182"/>
      <c r="J153" s="185"/>
      <c r="K153" s="185"/>
      <c r="L153" s="230"/>
      <c r="M153" s="182"/>
      <c r="N153" s="185"/>
      <c r="O153" s="185"/>
      <c r="P153" s="186"/>
      <c r="Q153" s="182"/>
      <c r="R153" s="183"/>
      <c r="S153" s="183"/>
      <c r="T153" s="184"/>
      <c r="U153" s="298"/>
      <c r="V153" s="185"/>
      <c r="W153" s="185"/>
      <c r="X153" s="230"/>
      <c r="Y153" s="185"/>
    </row>
    <row r="154" spans="1:25" ht="15" customHeight="1" x14ac:dyDescent="0.3">
      <c r="A154" s="357">
        <v>90</v>
      </c>
      <c r="B154" s="173">
        <v>48</v>
      </c>
      <c r="C154" s="448"/>
      <c r="D154" s="199" t="s">
        <v>432</v>
      </c>
      <c r="E154" s="449"/>
      <c r="F154" s="177" t="s">
        <v>764</v>
      </c>
      <c r="G154" s="202"/>
      <c r="H154" s="181"/>
      <c r="I154" s="182"/>
      <c r="J154" s="185"/>
      <c r="K154" s="185"/>
      <c r="L154" s="230"/>
      <c r="M154" s="182"/>
      <c r="N154" s="185"/>
      <c r="O154" s="185"/>
      <c r="P154" s="186"/>
      <c r="Q154" s="182"/>
      <c r="R154" s="183"/>
      <c r="S154" s="183"/>
      <c r="T154" s="184"/>
      <c r="U154" s="298"/>
      <c r="V154" s="185"/>
      <c r="W154" s="185"/>
      <c r="X154" s="230"/>
      <c r="Y154" s="185"/>
    </row>
    <row r="155" spans="1:25" ht="15" customHeight="1" x14ac:dyDescent="0.3">
      <c r="A155" s="357">
        <v>91</v>
      </c>
      <c r="B155" s="173">
        <v>49</v>
      </c>
      <c r="C155" s="448"/>
      <c r="D155" s="199" t="s">
        <v>433</v>
      </c>
      <c r="E155" s="449"/>
      <c r="F155" s="177" t="s">
        <v>764</v>
      </c>
      <c r="G155" s="202"/>
      <c r="H155" s="181"/>
      <c r="I155" s="182"/>
      <c r="J155" s="185"/>
      <c r="K155" s="185"/>
      <c r="L155" s="230"/>
      <c r="M155" s="182"/>
      <c r="N155" s="185"/>
      <c r="O155" s="185"/>
      <c r="P155" s="186"/>
      <c r="Q155" s="182"/>
      <c r="R155" s="183"/>
      <c r="S155" s="183"/>
      <c r="T155" s="184"/>
      <c r="U155" s="298"/>
      <c r="V155" s="185"/>
      <c r="W155" s="185"/>
      <c r="X155" s="230"/>
      <c r="Y155" s="185"/>
    </row>
    <row r="156" spans="1:25" ht="15" customHeight="1" x14ac:dyDescent="0.3">
      <c r="A156" s="357">
        <v>92</v>
      </c>
      <c r="B156" s="173">
        <v>50</v>
      </c>
      <c r="C156" s="448"/>
      <c r="D156" s="199" t="s">
        <v>434</v>
      </c>
      <c r="E156" s="449"/>
      <c r="F156" s="177" t="s">
        <v>764</v>
      </c>
      <c r="G156" s="202"/>
      <c r="H156" s="181"/>
      <c r="I156" s="182"/>
      <c r="J156" s="185"/>
      <c r="K156" s="185"/>
      <c r="L156" s="230"/>
      <c r="M156" s="182"/>
      <c r="N156" s="185"/>
      <c r="O156" s="185"/>
      <c r="P156" s="186"/>
      <c r="Q156" s="182"/>
      <c r="R156" s="183"/>
      <c r="S156" s="183"/>
      <c r="T156" s="184"/>
      <c r="U156" s="298"/>
      <c r="V156" s="185"/>
      <c r="W156" s="185"/>
      <c r="X156" s="230"/>
      <c r="Y156" s="185"/>
    </row>
    <row r="157" spans="1:25" ht="15" customHeight="1" x14ac:dyDescent="0.3">
      <c r="A157" s="357">
        <v>93</v>
      </c>
      <c r="B157" s="173">
        <v>51</v>
      </c>
      <c r="C157" s="447" t="s">
        <v>435</v>
      </c>
      <c r="D157" s="199" t="s">
        <v>436</v>
      </c>
      <c r="E157" s="449"/>
      <c r="F157" s="177" t="s">
        <v>764</v>
      </c>
      <c r="G157" s="202"/>
      <c r="H157" s="181"/>
      <c r="I157" s="182"/>
      <c r="J157" s="185"/>
      <c r="K157" s="185"/>
      <c r="L157" s="230"/>
      <c r="M157" s="182"/>
      <c r="N157" s="185"/>
      <c r="O157" s="185"/>
      <c r="P157" s="186"/>
      <c r="Q157" s="182"/>
      <c r="R157" s="185"/>
      <c r="S157" s="185"/>
      <c r="T157" s="184"/>
      <c r="U157" s="299"/>
      <c r="V157" s="183"/>
      <c r="W157" s="183"/>
      <c r="X157" s="209"/>
      <c r="Y157" s="185"/>
    </row>
    <row r="158" spans="1:25" ht="15" customHeight="1" x14ac:dyDescent="0.3">
      <c r="A158" s="357">
        <v>94</v>
      </c>
      <c r="B158" s="173">
        <v>52</v>
      </c>
      <c r="C158" s="448"/>
      <c r="D158" s="199" t="s">
        <v>437</v>
      </c>
      <c r="E158" s="449"/>
      <c r="F158" s="177" t="s">
        <v>764</v>
      </c>
      <c r="G158" s="202"/>
      <c r="H158" s="181"/>
      <c r="I158" s="182"/>
      <c r="J158" s="185"/>
      <c r="K158" s="185"/>
      <c r="L158" s="230"/>
      <c r="M158" s="182"/>
      <c r="N158" s="185"/>
      <c r="O158" s="185"/>
      <c r="P158" s="186"/>
      <c r="Q158" s="182"/>
      <c r="R158" s="185"/>
      <c r="S158" s="185"/>
      <c r="T158" s="184"/>
      <c r="U158" s="299"/>
      <c r="V158" s="183"/>
      <c r="W158" s="183"/>
      <c r="X158" s="209"/>
      <c r="Y158" s="185"/>
    </row>
    <row r="159" spans="1:25" ht="15" customHeight="1" x14ac:dyDescent="0.3">
      <c r="A159" s="357">
        <v>95</v>
      </c>
      <c r="B159" s="173">
        <v>53</v>
      </c>
      <c r="C159" s="448"/>
      <c r="D159" s="199" t="s">
        <v>438</v>
      </c>
      <c r="E159" s="449"/>
      <c r="F159" s="177" t="s">
        <v>764</v>
      </c>
      <c r="G159" s="202"/>
      <c r="H159" s="181"/>
      <c r="I159" s="182"/>
      <c r="J159" s="185"/>
      <c r="K159" s="185"/>
      <c r="L159" s="230"/>
      <c r="M159" s="182"/>
      <c r="N159" s="185"/>
      <c r="O159" s="185"/>
      <c r="P159" s="186"/>
      <c r="Q159" s="182"/>
      <c r="R159" s="185"/>
      <c r="S159" s="185"/>
      <c r="T159" s="184"/>
      <c r="U159" s="299"/>
      <c r="V159" s="183"/>
      <c r="W159" s="183"/>
      <c r="X159" s="209"/>
      <c r="Y159" s="185"/>
    </row>
    <row r="160" spans="1:25" ht="15" customHeight="1" x14ac:dyDescent="0.3">
      <c r="A160" s="357">
        <v>96</v>
      </c>
      <c r="B160" s="173">
        <v>54</v>
      </c>
      <c r="C160" s="448"/>
      <c r="D160" s="199" t="s">
        <v>439</v>
      </c>
      <c r="E160" s="449"/>
      <c r="F160" s="177" t="s">
        <v>764</v>
      </c>
      <c r="G160" s="202"/>
      <c r="H160" s="181"/>
      <c r="I160" s="182"/>
      <c r="J160" s="185"/>
      <c r="K160" s="185"/>
      <c r="L160" s="230"/>
      <c r="M160" s="182"/>
      <c r="N160" s="185"/>
      <c r="O160" s="185"/>
      <c r="P160" s="186"/>
      <c r="Q160" s="182"/>
      <c r="R160" s="185"/>
      <c r="S160" s="185"/>
      <c r="T160" s="184"/>
      <c r="U160" s="299"/>
      <c r="V160" s="183"/>
      <c r="W160" s="183"/>
      <c r="X160" s="209"/>
      <c r="Y160" s="185"/>
    </row>
    <row r="161" spans="1:25" ht="15" customHeight="1" x14ac:dyDescent="0.3">
      <c r="A161" s="357">
        <v>97</v>
      </c>
      <c r="B161" s="173">
        <v>55</v>
      </c>
      <c r="C161" s="448"/>
      <c r="D161" s="199" t="s">
        <v>440</v>
      </c>
      <c r="E161" s="449"/>
      <c r="F161" s="177" t="s">
        <v>764</v>
      </c>
      <c r="G161" s="202"/>
      <c r="H161" s="181"/>
      <c r="I161" s="182"/>
      <c r="J161" s="185"/>
      <c r="K161" s="185"/>
      <c r="L161" s="230"/>
      <c r="M161" s="182"/>
      <c r="N161" s="185"/>
      <c r="O161" s="185"/>
      <c r="P161" s="186"/>
      <c r="Q161" s="182"/>
      <c r="R161" s="185"/>
      <c r="S161" s="185"/>
      <c r="T161" s="184"/>
      <c r="U161" s="299"/>
      <c r="V161" s="183"/>
      <c r="W161" s="183"/>
      <c r="X161" s="209"/>
      <c r="Y161" s="185"/>
    </row>
    <row r="162" spans="1:25" ht="15" customHeight="1" x14ac:dyDescent="0.3">
      <c r="A162" s="357">
        <v>98</v>
      </c>
      <c r="B162" s="173">
        <v>56</v>
      </c>
      <c r="C162" s="448"/>
      <c r="D162" s="199" t="s">
        <v>441</v>
      </c>
      <c r="E162" s="449"/>
      <c r="F162" s="177" t="s">
        <v>764</v>
      </c>
      <c r="G162" s="202"/>
      <c r="H162" s="181"/>
      <c r="I162" s="182"/>
      <c r="J162" s="185"/>
      <c r="K162" s="185"/>
      <c r="L162" s="230"/>
      <c r="M162" s="182"/>
      <c r="N162" s="185"/>
      <c r="O162" s="185"/>
      <c r="P162" s="186"/>
      <c r="Q162" s="182"/>
      <c r="R162" s="185"/>
      <c r="S162" s="185"/>
      <c r="T162" s="184"/>
      <c r="U162" s="299"/>
      <c r="V162" s="183"/>
      <c r="W162" s="183"/>
      <c r="X162" s="209"/>
      <c r="Y162" s="185"/>
    </row>
    <row r="163" spans="1:25" ht="15" customHeight="1" x14ac:dyDescent="0.3">
      <c r="A163" s="357">
        <v>99</v>
      </c>
      <c r="B163" s="173">
        <v>57</v>
      </c>
      <c r="C163" s="448"/>
      <c r="D163" s="199" t="s">
        <v>442</v>
      </c>
      <c r="E163" s="449"/>
      <c r="F163" s="177" t="s">
        <v>764</v>
      </c>
      <c r="G163" s="202"/>
      <c r="H163" s="181"/>
      <c r="I163" s="182"/>
      <c r="J163" s="185"/>
      <c r="K163" s="185"/>
      <c r="L163" s="230"/>
      <c r="M163" s="182"/>
      <c r="N163" s="185"/>
      <c r="O163" s="185"/>
      <c r="P163" s="186"/>
      <c r="Q163" s="182"/>
      <c r="R163" s="185"/>
      <c r="S163" s="185"/>
      <c r="T163" s="184"/>
      <c r="U163" s="299"/>
      <c r="V163" s="183"/>
      <c r="W163" s="183"/>
      <c r="X163" s="209"/>
      <c r="Y163" s="185"/>
    </row>
    <row r="164" spans="1:25" ht="15" customHeight="1" x14ac:dyDescent="0.3">
      <c r="A164" s="357">
        <v>100</v>
      </c>
      <c r="B164" s="346">
        <v>58</v>
      </c>
      <c r="C164" s="456" t="s">
        <v>1079</v>
      </c>
      <c r="D164" s="260" t="s">
        <v>1080</v>
      </c>
      <c r="E164" s="459">
        <v>380877565</v>
      </c>
      <c r="F164" s="232" t="s">
        <v>766</v>
      </c>
      <c r="G164" s="460" t="s">
        <v>548</v>
      </c>
      <c r="H164" s="181"/>
      <c r="I164" s="182"/>
      <c r="J164" s="185"/>
      <c r="K164" s="183"/>
      <c r="L164" s="209"/>
      <c r="M164" s="189"/>
      <c r="N164" s="183"/>
      <c r="O164" s="185"/>
      <c r="P164" s="186"/>
      <c r="Q164" s="182"/>
      <c r="R164" s="185"/>
      <c r="S164" s="185"/>
      <c r="T164" s="186"/>
      <c r="U164" s="298"/>
      <c r="V164" s="185"/>
      <c r="W164" s="185"/>
      <c r="X164" s="230"/>
      <c r="Y164" s="185"/>
    </row>
    <row r="165" spans="1:25" ht="15" customHeight="1" x14ac:dyDescent="0.3">
      <c r="A165" s="357">
        <v>101</v>
      </c>
      <c r="B165" s="346">
        <v>59</v>
      </c>
      <c r="C165" s="457"/>
      <c r="D165" s="260" t="s">
        <v>1081</v>
      </c>
      <c r="E165" s="459"/>
      <c r="F165" s="232" t="s">
        <v>766</v>
      </c>
      <c r="G165" s="460"/>
      <c r="H165" s="181"/>
      <c r="I165" s="182"/>
      <c r="J165" s="185"/>
      <c r="K165" s="183"/>
      <c r="L165" s="209"/>
      <c r="M165" s="189"/>
      <c r="N165" s="183"/>
      <c r="O165" s="185"/>
      <c r="P165" s="186"/>
      <c r="Q165" s="182"/>
      <c r="R165" s="185"/>
      <c r="S165" s="185"/>
      <c r="T165" s="186"/>
      <c r="U165" s="298"/>
      <c r="V165" s="185"/>
      <c r="W165" s="185"/>
      <c r="X165" s="230"/>
      <c r="Y165" s="185"/>
    </row>
    <row r="166" spans="1:25" ht="15" customHeight="1" x14ac:dyDescent="0.3">
      <c r="A166" s="357">
        <v>102</v>
      </c>
      <c r="B166" s="346">
        <v>60</v>
      </c>
      <c r="C166" s="457"/>
      <c r="D166" s="260" t="s">
        <v>758</v>
      </c>
      <c r="E166" s="459"/>
      <c r="F166" s="347" t="s">
        <v>491</v>
      </c>
      <c r="G166" s="460"/>
      <c r="H166" s="181"/>
      <c r="I166" s="182"/>
      <c r="J166" s="185"/>
      <c r="K166" s="183"/>
      <c r="L166" s="209"/>
      <c r="M166" s="189"/>
      <c r="N166" s="183"/>
      <c r="O166" s="185"/>
      <c r="P166" s="186"/>
      <c r="Q166" s="182"/>
      <c r="R166" s="185"/>
      <c r="S166" s="185"/>
      <c r="T166" s="186"/>
      <c r="U166" s="298"/>
      <c r="V166" s="185"/>
      <c r="W166" s="185"/>
      <c r="X166" s="230"/>
      <c r="Y166" s="185"/>
    </row>
    <row r="167" spans="1:25" ht="15" customHeight="1" x14ac:dyDescent="0.3">
      <c r="A167" s="357">
        <v>103</v>
      </c>
      <c r="B167" s="346">
        <v>61</v>
      </c>
      <c r="C167" s="457"/>
      <c r="D167" s="260" t="s">
        <v>716</v>
      </c>
      <c r="E167" s="459"/>
      <c r="F167" s="347" t="s">
        <v>491</v>
      </c>
      <c r="G167" s="460"/>
      <c r="H167" s="181"/>
      <c r="I167" s="182"/>
      <c r="J167" s="185"/>
      <c r="K167" s="183"/>
      <c r="L167" s="209"/>
      <c r="M167" s="189"/>
      <c r="N167" s="183"/>
      <c r="O167" s="185"/>
      <c r="P167" s="186"/>
      <c r="Q167" s="182"/>
      <c r="R167" s="185"/>
      <c r="S167" s="185"/>
      <c r="T167" s="186"/>
      <c r="U167" s="298"/>
      <c r="V167" s="185"/>
      <c r="W167" s="185"/>
      <c r="X167" s="230"/>
      <c r="Y167" s="185"/>
    </row>
    <row r="168" spans="1:25" ht="15" customHeight="1" x14ac:dyDescent="0.3">
      <c r="A168" s="357">
        <v>104</v>
      </c>
      <c r="B168" s="346">
        <v>62</v>
      </c>
      <c r="C168" s="457"/>
      <c r="D168" s="260" t="s">
        <v>717</v>
      </c>
      <c r="E168" s="459"/>
      <c r="F168" s="347" t="s">
        <v>491</v>
      </c>
      <c r="G168" s="460"/>
      <c r="H168" s="181"/>
      <c r="I168" s="182"/>
      <c r="J168" s="185"/>
      <c r="K168" s="183"/>
      <c r="L168" s="209"/>
      <c r="M168" s="189"/>
      <c r="N168" s="183"/>
      <c r="O168" s="185"/>
      <c r="P168" s="186"/>
      <c r="Q168" s="182"/>
      <c r="R168" s="185"/>
      <c r="S168" s="185"/>
      <c r="T168" s="186"/>
      <c r="U168" s="298"/>
      <c r="V168" s="185"/>
      <c r="W168" s="185"/>
      <c r="X168" s="230"/>
      <c r="Y168" s="185"/>
    </row>
    <row r="169" spans="1:25" ht="15" customHeight="1" x14ac:dyDescent="0.3">
      <c r="A169" s="357">
        <v>105</v>
      </c>
      <c r="B169" s="346">
        <v>63</v>
      </c>
      <c r="C169" s="457"/>
      <c r="D169" s="260" t="s">
        <v>718</v>
      </c>
      <c r="E169" s="459"/>
      <c r="F169" s="347" t="s">
        <v>491</v>
      </c>
      <c r="G169" s="460"/>
      <c r="H169" s="181"/>
      <c r="I169" s="182"/>
      <c r="J169" s="185"/>
      <c r="K169" s="183"/>
      <c r="L169" s="209"/>
      <c r="M169" s="189"/>
      <c r="N169" s="183"/>
      <c r="O169" s="185"/>
      <c r="P169" s="186"/>
      <c r="Q169" s="182"/>
      <c r="R169" s="185"/>
      <c r="S169" s="185"/>
      <c r="T169" s="186"/>
      <c r="U169" s="298"/>
      <c r="V169" s="185"/>
      <c r="W169" s="185"/>
      <c r="X169" s="230"/>
      <c r="Y169" s="185"/>
    </row>
    <row r="170" spans="1:25" ht="15" customHeight="1" x14ac:dyDescent="0.3">
      <c r="A170" s="357">
        <v>106</v>
      </c>
      <c r="B170" s="346">
        <v>64</v>
      </c>
      <c r="C170" s="457"/>
      <c r="D170" s="260" t="s">
        <v>719</v>
      </c>
      <c r="E170" s="459"/>
      <c r="F170" s="347" t="s">
        <v>491</v>
      </c>
      <c r="G170" s="460"/>
      <c r="H170" s="181"/>
      <c r="I170" s="182"/>
      <c r="J170" s="185"/>
      <c r="K170" s="183"/>
      <c r="L170" s="209"/>
      <c r="M170" s="189"/>
      <c r="N170" s="183"/>
      <c r="O170" s="185"/>
      <c r="P170" s="186"/>
      <c r="Q170" s="182"/>
      <c r="R170" s="185"/>
      <c r="S170" s="185"/>
      <c r="T170" s="186"/>
      <c r="U170" s="298"/>
      <c r="V170" s="185"/>
      <c r="W170" s="185"/>
      <c r="X170" s="230"/>
      <c r="Y170" s="185"/>
    </row>
    <row r="171" spans="1:25" ht="15" customHeight="1" x14ac:dyDescent="0.3">
      <c r="A171" s="357">
        <v>107</v>
      </c>
      <c r="B171" s="346">
        <v>65</v>
      </c>
      <c r="C171" s="457"/>
      <c r="D171" s="260" t="s">
        <v>720</v>
      </c>
      <c r="E171" s="459"/>
      <c r="F171" s="347" t="s">
        <v>491</v>
      </c>
      <c r="G171" s="460"/>
      <c r="H171" s="181"/>
      <c r="I171" s="182"/>
      <c r="J171" s="185"/>
      <c r="K171" s="183"/>
      <c r="L171" s="209"/>
      <c r="M171" s="189"/>
      <c r="N171" s="183"/>
      <c r="O171" s="185"/>
      <c r="P171" s="186"/>
      <c r="Q171" s="182"/>
      <c r="R171" s="185"/>
      <c r="S171" s="185"/>
      <c r="T171" s="277"/>
      <c r="U171" s="323"/>
      <c r="V171" s="278"/>
      <c r="W171" s="278"/>
      <c r="X171" s="230"/>
      <c r="Y171" s="185"/>
    </row>
    <row r="172" spans="1:25" ht="15" customHeight="1" x14ac:dyDescent="0.3">
      <c r="A172" s="357">
        <v>108</v>
      </c>
      <c r="B172" s="346">
        <v>66</v>
      </c>
      <c r="C172" s="457"/>
      <c r="D172" s="260" t="s">
        <v>721</v>
      </c>
      <c r="E172" s="459"/>
      <c r="F172" s="347" t="s">
        <v>491</v>
      </c>
      <c r="G172" s="460"/>
      <c r="H172" s="181"/>
      <c r="I172" s="182"/>
      <c r="J172" s="185"/>
      <c r="K172" s="183"/>
      <c r="L172" s="209"/>
      <c r="M172" s="189"/>
      <c r="N172" s="183"/>
      <c r="O172" s="185"/>
      <c r="P172" s="186"/>
      <c r="Q172" s="182"/>
      <c r="R172" s="185"/>
      <c r="S172" s="230"/>
      <c r="T172" s="186"/>
      <c r="U172" s="298"/>
      <c r="V172" s="185"/>
      <c r="W172" s="185"/>
      <c r="X172" s="276"/>
      <c r="Y172" s="185"/>
    </row>
    <row r="173" spans="1:25" ht="17.7" customHeight="1" x14ac:dyDescent="0.3">
      <c r="A173" s="357">
        <v>109</v>
      </c>
      <c r="B173" s="346">
        <v>67</v>
      </c>
      <c r="C173" s="457"/>
      <c r="D173" s="199" t="s">
        <v>714</v>
      </c>
      <c r="E173" s="459"/>
      <c r="F173" s="178">
        <v>46258</v>
      </c>
      <c r="G173" s="200"/>
      <c r="H173" s="181"/>
      <c r="I173" s="182"/>
      <c r="J173" s="185"/>
      <c r="K173" s="185"/>
      <c r="L173" s="230"/>
      <c r="M173" s="182"/>
      <c r="N173" s="185"/>
      <c r="O173" s="185"/>
      <c r="P173" s="186"/>
      <c r="Q173" s="182"/>
      <c r="R173" s="185"/>
      <c r="S173" s="230"/>
      <c r="T173" s="184"/>
      <c r="U173" s="299"/>
      <c r="V173" s="183"/>
      <c r="W173" s="183"/>
      <c r="X173" s="276"/>
      <c r="Y173" s="185"/>
    </row>
    <row r="174" spans="1:25" ht="17.7" customHeight="1" x14ac:dyDescent="0.3">
      <c r="A174" s="357">
        <v>110</v>
      </c>
      <c r="B174" s="346">
        <v>68</v>
      </c>
      <c r="C174" s="458"/>
      <c r="D174" s="199" t="s">
        <v>715</v>
      </c>
      <c r="E174" s="459"/>
      <c r="F174" s="178">
        <v>46258</v>
      </c>
      <c r="G174" s="202"/>
      <c r="H174" s="181"/>
      <c r="I174" s="182"/>
      <c r="J174" s="185"/>
      <c r="K174" s="185"/>
      <c r="L174" s="230"/>
      <c r="M174" s="182"/>
      <c r="N174" s="185"/>
      <c r="O174" s="185"/>
      <c r="P174" s="186"/>
      <c r="Q174" s="182"/>
      <c r="R174" s="185"/>
      <c r="S174" s="185"/>
      <c r="T174" s="184"/>
      <c r="U174" s="299"/>
      <c r="V174" s="183"/>
      <c r="W174" s="183"/>
      <c r="X174" s="230"/>
      <c r="Y174" s="185"/>
    </row>
    <row r="175" spans="1:25" ht="15" customHeight="1" x14ac:dyDescent="0.3">
      <c r="A175" s="357">
        <v>111</v>
      </c>
      <c r="B175" s="173">
        <v>58</v>
      </c>
      <c r="C175" s="456" t="s">
        <v>367</v>
      </c>
      <c r="D175" s="260" t="s">
        <v>780</v>
      </c>
      <c r="E175" s="459">
        <v>380877565</v>
      </c>
      <c r="F175" s="347" t="s">
        <v>491</v>
      </c>
      <c r="G175" s="460" t="s">
        <v>548</v>
      </c>
      <c r="H175" s="181"/>
      <c r="I175" s="182"/>
      <c r="J175" s="185"/>
      <c r="K175" s="183"/>
      <c r="L175" s="209"/>
      <c r="M175" s="189"/>
      <c r="N175" s="183"/>
      <c r="O175" s="185"/>
      <c r="P175" s="186"/>
      <c r="Q175" s="182"/>
      <c r="R175" s="185"/>
      <c r="S175" s="185"/>
      <c r="T175" s="186"/>
      <c r="U175" s="298"/>
      <c r="V175" s="185"/>
      <c r="W175" s="185"/>
      <c r="X175" s="230"/>
      <c r="Y175" s="185" t="s">
        <v>768</v>
      </c>
    </row>
    <row r="176" spans="1:25" ht="15" customHeight="1" x14ac:dyDescent="0.3">
      <c r="A176" s="357">
        <v>112</v>
      </c>
      <c r="B176" s="173">
        <v>59</v>
      </c>
      <c r="C176" s="457"/>
      <c r="D176" s="260" t="s">
        <v>781</v>
      </c>
      <c r="E176" s="459"/>
      <c r="F176" s="347" t="s">
        <v>491</v>
      </c>
      <c r="G176" s="460"/>
      <c r="H176" s="181"/>
      <c r="I176" s="182"/>
      <c r="J176" s="185"/>
      <c r="K176" s="183"/>
      <c r="L176" s="209"/>
      <c r="M176" s="189"/>
      <c r="N176" s="183"/>
      <c r="O176" s="185"/>
      <c r="P176" s="186"/>
      <c r="Q176" s="182"/>
      <c r="R176" s="185"/>
      <c r="S176" s="185"/>
      <c r="T176" s="186"/>
      <c r="U176" s="298"/>
      <c r="V176" s="185"/>
      <c r="W176" s="185"/>
      <c r="X176" s="230"/>
      <c r="Y176" s="185"/>
    </row>
    <row r="177" spans="1:25" ht="15" customHeight="1" x14ac:dyDescent="0.3">
      <c r="A177" s="357">
        <v>113</v>
      </c>
      <c r="B177" s="173">
        <v>60</v>
      </c>
      <c r="C177" s="457"/>
      <c r="D177" s="260" t="s">
        <v>758</v>
      </c>
      <c r="E177" s="459"/>
      <c r="F177" s="177" t="s">
        <v>491</v>
      </c>
      <c r="G177" s="460"/>
      <c r="H177" s="181"/>
      <c r="I177" s="182"/>
      <c r="J177" s="185"/>
      <c r="K177" s="183"/>
      <c r="L177" s="209"/>
      <c r="M177" s="189"/>
      <c r="N177" s="183"/>
      <c r="O177" s="185"/>
      <c r="P177" s="186"/>
      <c r="Q177" s="182"/>
      <c r="R177" s="185"/>
      <c r="S177" s="185"/>
      <c r="T177" s="186"/>
      <c r="U177" s="298"/>
      <c r="V177" s="185"/>
      <c r="W177" s="185"/>
      <c r="X177" s="230"/>
      <c r="Y177" s="185"/>
    </row>
    <row r="178" spans="1:25" ht="15" customHeight="1" x14ac:dyDescent="0.3">
      <c r="A178" s="357">
        <v>114</v>
      </c>
      <c r="B178" s="173">
        <v>61</v>
      </c>
      <c r="C178" s="457"/>
      <c r="D178" s="260" t="s">
        <v>716</v>
      </c>
      <c r="E178" s="459"/>
      <c r="F178" s="177" t="s">
        <v>491</v>
      </c>
      <c r="G178" s="460"/>
      <c r="H178" s="181"/>
      <c r="I178" s="182"/>
      <c r="J178" s="185"/>
      <c r="K178" s="183"/>
      <c r="L178" s="209"/>
      <c r="M178" s="189"/>
      <c r="N178" s="183"/>
      <c r="O178" s="185"/>
      <c r="P178" s="186"/>
      <c r="Q178" s="182"/>
      <c r="R178" s="185"/>
      <c r="S178" s="185"/>
      <c r="T178" s="186"/>
      <c r="U178" s="298"/>
      <c r="V178" s="185"/>
      <c r="W178" s="185"/>
      <c r="X178" s="230"/>
      <c r="Y178" s="185"/>
    </row>
    <row r="179" spans="1:25" ht="15" customHeight="1" x14ac:dyDescent="0.3">
      <c r="A179" s="357">
        <v>115</v>
      </c>
      <c r="B179" s="173">
        <v>62</v>
      </c>
      <c r="C179" s="457"/>
      <c r="D179" s="260" t="s">
        <v>717</v>
      </c>
      <c r="E179" s="459"/>
      <c r="F179" s="177" t="s">
        <v>491</v>
      </c>
      <c r="G179" s="460"/>
      <c r="H179" s="181"/>
      <c r="I179" s="182"/>
      <c r="J179" s="185"/>
      <c r="K179" s="183"/>
      <c r="L179" s="209"/>
      <c r="M179" s="189"/>
      <c r="N179" s="183"/>
      <c r="O179" s="185"/>
      <c r="P179" s="186"/>
      <c r="Q179" s="182"/>
      <c r="R179" s="185"/>
      <c r="S179" s="185"/>
      <c r="T179" s="186"/>
      <c r="U179" s="298"/>
      <c r="V179" s="185"/>
      <c r="W179" s="185"/>
      <c r="X179" s="230"/>
      <c r="Y179" s="185"/>
    </row>
    <row r="180" spans="1:25" ht="15" customHeight="1" x14ac:dyDescent="0.3">
      <c r="A180" s="357">
        <v>116</v>
      </c>
      <c r="B180" s="173">
        <v>63</v>
      </c>
      <c r="C180" s="457"/>
      <c r="D180" s="260" t="s">
        <v>718</v>
      </c>
      <c r="E180" s="459"/>
      <c r="F180" s="177" t="s">
        <v>491</v>
      </c>
      <c r="G180" s="460"/>
      <c r="H180" s="181"/>
      <c r="I180" s="182"/>
      <c r="J180" s="185"/>
      <c r="K180" s="183"/>
      <c r="L180" s="209"/>
      <c r="M180" s="189"/>
      <c r="N180" s="183"/>
      <c r="O180" s="185"/>
      <c r="P180" s="186"/>
      <c r="Q180" s="182"/>
      <c r="R180" s="185"/>
      <c r="S180" s="185"/>
      <c r="T180" s="186"/>
      <c r="U180" s="298"/>
      <c r="V180" s="185"/>
      <c r="W180" s="185"/>
      <c r="X180" s="230"/>
      <c r="Y180" s="185"/>
    </row>
    <row r="181" spans="1:25" ht="15" customHeight="1" x14ac:dyDescent="0.3">
      <c r="A181" s="357">
        <v>117</v>
      </c>
      <c r="B181" s="173">
        <v>64</v>
      </c>
      <c r="C181" s="457"/>
      <c r="D181" s="260" t="s">
        <v>719</v>
      </c>
      <c r="E181" s="459"/>
      <c r="F181" s="177" t="s">
        <v>491</v>
      </c>
      <c r="G181" s="460"/>
      <c r="H181" s="181"/>
      <c r="I181" s="182"/>
      <c r="J181" s="185"/>
      <c r="K181" s="183"/>
      <c r="L181" s="209"/>
      <c r="M181" s="189"/>
      <c r="N181" s="183"/>
      <c r="O181" s="185"/>
      <c r="P181" s="186"/>
      <c r="Q181" s="182"/>
      <c r="R181" s="185"/>
      <c r="S181" s="185"/>
      <c r="T181" s="186"/>
      <c r="U181" s="298"/>
      <c r="V181" s="185"/>
      <c r="W181" s="185"/>
      <c r="X181" s="230"/>
      <c r="Y181" s="185"/>
    </row>
    <row r="182" spans="1:25" ht="15" customHeight="1" x14ac:dyDescent="0.3">
      <c r="A182" s="357">
        <v>118</v>
      </c>
      <c r="B182" s="173">
        <v>65</v>
      </c>
      <c r="C182" s="457"/>
      <c r="D182" s="260" t="s">
        <v>720</v>
      </c>
      <c r="E182" s="459"/>
      <c r="F182" s="177" t="s">
        <v>491</v>
      </c>
      <c r="G182" s="460"/>
      <c r="H182" s="181"/>
      <c r="I182" s="182"/>
      <c r="J182" s="185"/>
      <c r="K182" s="183"/>
      <c r="L182" s="209"/>
      <c r="M182" s="189"/>
      <c r="N182" s="183"/>
      <c r="O182" s="185"/>
      <c r="P182" s="186"/>
      <c r="Q182" s="182"/>
      <c r="R182" s="185"/>
      <c r="S182" s="185"/>
      <c r="T182" s="277"/>
      <c r="U182" s="323"/>
      <c r="V182" s="278"/>
      <c r="W182" s="278"/>
      <c r="X182" s="230"/>
      <c r="Y182" s="185"/>
    </row>
    <row r="183" spans="1:25" ht="15" customHeight="1" x14ac:dyDescent="0.3">
      <c r="A183" s="357">
        <v>119</v>
      </c>
      <c r="B183" s="173">
        <v>66</v>
      </c>
      <c r="C183" s="457"/>
      <c r="D183" s="260" t="s">
        <v>721</v>
      </c>
      <c r="E183" s="459"/>
      <c r="F183" s="177" t="s">
        <v>491</v>
      </c>
      <c r="G183" s="460"/>
      <c r="H183" s="181"/>
      <c r="I183" s="182"/>
      <c r="J183" s="185"/>
      <c r="K183" s="183"/>
      <c r="L183" s="209"/>
      <c r="M183" s="189"/>
      <c r="N183" s="183"/>
      <c r="O183" s="185"/>
      <c r="P183" s="186"/>
      <c r="Q183" s="182"/>
      <c r="R183" s="185"/>
      <c r="S183" s="230"/>
      <c r="T183" s="186"/>
      <c r="U183" s="298"/>
      <c r="V183" s="185"/>
      <c r="W183" s="185"/>
      <c r="X183" s="276"/>
      <c r="Y183" s="185"/>
    </row>
    <row r="184" spans="1:25" ht="17.7" customHeight="1" x14ac:dyDescent="0.3">
      <c r="A184" s="357">
        <v>120</v>
      </c>
      <c r="B184" s="173">
        <v>67</v>
      </c>
      <c r="C184" s="457"/>
      <c r="D184" s="199" t="s">
        <v>714</v>
      </c>
      <c r="E184" s="459"/>
      <c r="F184" s="178">
        <v>46258</v>
      </c>
      <c r="G184" s="200"/>
      <c r="H184" s="181"/>
      <c r="I184" s="182"/>
      <c r="J184" s="185"/>
      <c r="K184" s="185"/>
      <c r="L184" s="230"/>
      <c r="M184" s="182"/>
      <c r="N184" s="185"/>
      <c r="O184" s="185"/>
      <c r="P184" s="186"/>
      <c r="Q184" s="182"/>
      <c r="R184" s="185"/>
      <c r="S184" s="230"/>
      <c r="T184" s="184"/>
      <c r="U184" s="299"/>
      <c r="V184" s="183"/>
      <c r="W184" s="183"/>
      <c r="X184" s="276"/>
      <c r="Y184" s="185"/>
    </row>
    <row r="185" spans="1:25" ht="17.7" customHeight="1" x14ac:dyDescent="0.3">
      <c r="A185" s="357">
        <v>121</v>
      </c>
      <c r="B185" s="173">
        <v>68</v>
      </c>
      <c r="C185" s="458"/>
      <c r="D185" s="199" t="s">
        <v>715</v>
      </c>
      <c r="E185" s="459"/>
      <c r="F185" s="178">
        <v>46258</v>
      </c>
      <c r="G185" s="202"/>
      <c r="H185" s="181"/>
      <c r="I185" s="182"/>
      <c r="J185" s="185"/>
      <c r="K185" s="185"/>
      <c r="L185" s="230"/>
      <c r="M185" s="182"/>
      <c r="N185" s="185"/>
      <c r="O185" s="185"/>
      <c r="P185" s="186"/>
      <c r="Q185" s="182"/>
      <c r="R185" s="185"/>
      <c r="S185" s="185"/>
      <c r="T185" s="184"/>
      <c r="U185" s="299"/>
      <c r="V185" s="183"/>
      <c r="W185" s="183"/>
      <c r="X185" s="230"/>
      <c r="Y185" s="185"/>
    </row>
    <row r="186" spans="1:25" ht="32.1" customHeight="1" x14ac:dyDescent="0.3">
      <c r="A186" s="367"/>
      <c r="B186" s="368" t="s">
        <v>479</v>
      </c>
      <c r="C186" s="368" t="s">
        <v>283</v>
      </c>
      <c r="D186" s="380" t="s">
        <v>549</v>
      </c>
      <c r="E186" s="370">
        <v>73464734.25</v>
      </c>
      <c r="F186" s="269"/>
      <c r="G186" s="381" t="s">
        <v>550</v>
      </c>
      <c r="H186" s="373"/>
      <c r="I186" s="374"/>
      <c r="J186" s="371"/>
      <c r="K186" s="371"/>
      <c r="L186" s="375"/>
      <c r="M186" s="374"/>
      <c r="N186" s="371"/>
      <c r="O186" s="371"/>
      <c r="P186" s="376"/>
      <c r="Q186" s="374"/>
      <c r="R186" s="371"/>
      <c r="S186" s="371"/>
      <c r="T186" s="376"/>
      <c r="U186" s="377"/>
      <c r="V186" s="371"/>
      <c r="W186" s="371"/>
      <c r="X186" s="375"/>
      <c r="Y186" s="371"/>
    </row>
    <row r="187" spans="1:25" x14ac:dyDescent="0.3">
      <c r="A187" s="173">
        <v>122</v>
      </c>
      <c r="B187" s="195">
        <v>1</v>
      </c>
      <c r="C187" s="251" t="s">
        <v>551</v>
      </c>
      <c r="D187" s="226" t="s">
        <v>551</v>
      </c>
      <c r="E187" s="461">
        <v>35000000</v>
      </c>
      <c r="F187" s="232" t="s">
        <v>274</v>
      </c>
      <c r="G187" s="180"/>
      <c r="H187" s="181"/>
      <c r="I187" s="182"/>
      <c r="J187" s="185"/>
      <c r="K187" s="185"/>
      <c r="L187" s="230"/>
      <c r="M187" s="182"/>
      <c r="N187" s="185"/>
      <c r="O187" s="185"/>
      <c r="P187" s="186"/>
      <c r="Q187" s="182"/>
      <c r="R187" s="185"/>
      <c r="S187" s="185"/>
      <c r="T187" s="186"/>
      <c r="U187" s="298"/>
      <c r="V187" s="185"/>
      <c r="W187" s="185"/>
      <c r="X187" s="230"/>
      <c r="Y187" s="185"/>
    </row>
    <row r="188" spans="1:25" x14ac:dyDescent="0.3">
      <c r="A188" s="173">
        <v>123</v>
      </c>
      <c r="B188" s="195">
        <v>3</v>
      </c>
      <c r="C188" s="220" t="s">
        <v>552</v>
      </c>
      <c r="D188" s="226" t="s">
        <v>552</v>
      </c>
      <c r="E188" s="462"/>
      <c r="F188" s="232" t="s">
        <v>274</v>
      </c>
      <c r="G188" s="180"/>
      <c r="H188" s="181"/>
      <c r="I188" s="182"/>
      <c r="J188" s="185"/>
      <c r="K188" s="185"/>
      <c r="L188" s="230"/>
      <c r="M188" s="182"/>
      <c r="N188" s="185"/>
      <c r="O188" s="185"/>
      <c r="P188" s="186"/>
      <c r="Q188" s="182"/>
      <c r="R188" s="185"/>
      <c r="S188" s="185"/>
      <c r="T188" s="186"/>
      <c r="U188" s="298"/>
      <c r="V188" s="185"/>
      <c r="W188" s="185"/>
      <c r="X188" s="230"/>
      <c r="Y188" s="185"/>
    </row>
    <row r="189" spans="1:25" ht="172.95" customHeight="1" x14ac:dyDescent="0.3">
      <c r="A189" s="357">
        <v>124</v>
      </c>
      <c r="B189" s="195">
        <v>2</v>
      </c>
      <c r="C189" s="196" t="s">
        <v>553</v>
      </c>
      <c r="D189" s="173" t="s">
        <v>553</v>
      </c>
      <c r="E189" s="206"/>
      <c r="F189" s="177" t="s">
        <v>491</v>
      </c>
      <c r="G189" s="180"/>
      <c r="H189" s="194"/>
      <c r="I189" s="189"/>
      <c r="J189" s="183"/>
      <c r="K189" s="263"/>
      <c r="L189" s="209"/>
      <c r="M189" s="182"/>
      <c r="N189" s="185"/>
      <c r="O189" s="185"/>
      <c r="P189" s="186"/>
      <c r="Q189" s="182"/>
      <c r="R189" s="185"/>
      <c r="S189" s="185"/>
      <c r="T189" s="186"/>
      <c r="U189" s="298"/>
      <c r="V189" s="185"/>
      <c r="W189" s="185"/>
      <c r="X189" s="230"/>
      <c r="Y189" s="269" t="s">
        <v>722</v>
      </c>
    </row>
    <row r="190" spans="1:25" ht="117.6" customHeight="1" x14ac:dyDescent="0.3">
      <c r="A190" s="357">
        <v>125</v>
      </c>
      <c r="B190" s="195">
        <v>4</v>
      </c>
      <c r="C190" s="196" t="s">
        <v>554</v>
      </c>
      <c r="D190" s="173" t="s">
        <v>554</v>
      </c>
      <c r="E190" s="206"/>
      <c r="F190" s="177" t="s">
        <v>491</v>
      </c>
      <c r="G190" s="180"/>
      <c r="H190" s="194"/>
      <c r="I190" s="189"/>
      <c r="J190" s="183"/>
      <c r="K190" s="263"/>
      <c r="L190" s="209"/>
      <c r="M190" s="182"/>
      <c r="N190" s="185"/>
      <c r="O190" s="185"/>
      <c r="P190" s="186"/>
      <c r="Q190" s="182"/>
      <c r="R190" s="185"/>
      <c r="S190" s="185"/>
      <c r="T190" s="186"/>
      <c r="U190" s="298"/>
      <c r="V190" s="185"/>
      <c r="W190" s="185"/>
      <c r="X190" s="230"/>
      <c r="Y190" s="270" t="s">
        <v>789</v>
      </c>
    </row>
    <row r="191" spans="1:25" ht="30.6" customHeight="1" x14ac:dyDescent="0.3">
      <c r="A191" s="367"/>
      <c r="B191" s="368" t="s">
        <v>479</v>
      </c>
      <c r="C191" s="368" t="s">
        <v>283</v>
      </c>
      <c r="D191" s="380" t="s">
        <v>555</v>
      </c>
      <c r="E191" s="382"/>
      <c r="F191" s="269"/>
      <c r="G191" s="372"/>
      <c r="H191" s="373"/>
      <c r="I191" s="374"/>
      <c r="J191" s="371"/>
      <c r="K191" s="371"/>
      <c r="L191" s="375"/>
      <c r="M191" s="374"/>
      <c r="N191" s="371"/>
      <c r="O191" s="371"/>
      <c r="P191" s="376"/>
      <c r="Q191" s="374"/>
      <c r="R191" s="371"/>
      <c r="S191" s="371"/>
      <c r="T191" s="376"/>
      <c r="U191" s="377"/>
      <c r="V191" s="371"/>
      <c r="W191" s="371"/>
      <c r="X191" s="375"/>
      <c r="Y191" s="371"/>
    </row>
    <row r="192" spans="1:25" ht="15.6" customHeight="1" x14ac:dyDescent="0.3">
      <c r="A192" s="173">
        <v>126</v>
      </c>
      <c r="B192" s="173">
        <v>1</v>
      </c>
      <c r="C192" s="203" t="s">
        <v>414</v>
      </c>
      <c r="D192" s="208" t="s">
        <v>414</v>
      </c>
      <c r="E192" s="449">
        <v>25058097.799999997</v>
      </c>
      <c r="F192" s="179">
        <v>46235</v>
      </c>
      <c r="G192" s="180"/>
      <c r="H192" s="181"/>
      <c r="I192" s="182"/>
      <c r="J192" s="185"/>
      <c r="K192" s="185"/>
      <c r="L192" s="230"/>
      <c r="M192" s="182"/>
      <c r="N192" s="185"/>
      <c r="O192" s="185"/>
      <c r="P192" s="186"/>
      <c r="Q192" s="189"/>
      <c r="R192" s="183"/>
      <c r="S192" s="183"/>
      <c r="T192" s="184"/>
      <c r="U192" s="299"/>
      <c r="V192" s="183"/>
      <c r="W192" s="183"/>
      <c r="X192" s="209"/>
      <c r="Y192" s="185"/>
    </row>
    <row r="193" spans="1:25" x14ac:dyDescent="0.3">
      <c r="A193" s="173">
        <v>127</v>
      </c>
      <c r="B193" s="173">
        <v>2</v>
      </c>
      <c r="C193" s="203" t="s">
        <v>427</v>
      </c>
      <c r="D193" s="208" t="s">
        <v>427</v>
      </c>
      <c r="E193" s="449"/>
      <c r="F193" s="179">
        <v>46235</v>
      </c>
      <c r="G193" s="180"/>
      <c r="H193" s="181"/>
      <c r="I193" s="182"/>
      <c r="J193" s="185"/>
      <c r="K193" s="185"/>
      <c r="L193" s="230"/>
      <c r="M193" s="182"/>
      <c r="N193" s="185"/>
      <c r="O193" s="185"/>
      <c r="P193" s="186"/>
      <c r="Q193" s="189"/>
      <c r="R193" s="183"/>
      <c r="S193" s="183"/>
      <c r="T193" s="184"/>
      <c r="U193" s="299"/>
      <c r="V193" s="183"/>
      <c r="W193" s="183"/>
      <c r="X193" s="209"/>
      <c r="Y193" s="185"/>
    </row>
    <row r="194" spans="1:25" x14ac:dyDescent="0.3">
      <c r="A194" s="357">
        <v>128</v>
      </c>
      <c r="B194" s="173">
        <v>3</v>
      </c>
      <c r="C194" s="203" t="s">
        <v>435</v>
      </c>
      <c r="D194" s="208" t="s">
        <v>435</v>
      </c>
      <c r="E194" s="449"/>
      <c r="F194" s="179">
        <v>46235</v>
      </c>
      <c r="G194" s="180"/>
      <c r="H194" s="181"/>
      <c r="I194" s="182"/>
      <c r="J194" s="185"/>
      <c r="K194" s="185"/>
      <c r="L194" s="230"/>
      <c r="M194" s="182"/>
      <c r="N194" s="185"/>
      <c r="O194" s="185"/>
      <c r="P194" s="186"/>
      <c r="Q194" s="189"/>
      <c r="R194" s="183"/>
      <c r="S194" s="183"/>
      <c r="T194" s="184"/>
      <c r="U194" s="299"/>
      <c r="V194" s="183"/>
      <c r="W194" s="183"/>
      <c r="X194" s="209"/>
      <c r="Y194" s="185"/>
    </row>
    <row r="195" spans="1:25" x14ac:dyDescent="0.3">
      <c r="A195" s="357">
        <v>129</v>
      </c>
      <c r="B195" s="173">
        <v>4</v>
      </c>
      <c r="C195" s="203" t="s">
        <v>367</v>
      </c>
      <c r="D195" s="208" t="s">
        <v>367</v>
      </c>
      <c r="E195" s="449"/>
      <c r="F195" s="179">
        <v>46235</v>
      </c>
      <c r="G195" s="180"/>
      <c r="H195" s="181"/>
      <c r="I195" s="182"/>
      <c r="J195" s="185"/>
      <c r="K195" s="185"/>
      <c r="L195" s="230"/>
      <c r="M195" s="182"/>
      <c r="N195" s="185"/>
      <c r="O195" s="185"/>
      <c r="P195" s="186"/>
      <c r="Q195" s="189"/>
      <c r="R195" s="183"/>
      <c r="S195" s="183"/>
      <c r="T195" s="184"/>
      <c r="U195" s="299"/>
      <c r="V195" s="183"/>
      <c r="W195" s="183"/>
      <c r="X195" s="209"/>
      <c r="Y195" s="185"/>
    </row>
    <row r="196" spans="1:25" x14ac:dyDescent="0.3">
      <c r="A196" s="357">
        <v>130</v>
      </c>
      <c r="B196" s="173">
        <v>5</v>
      </c>
      <c r="C196" s="203" t="s">
        <v>378</v>
      </c>
      <c r="D196" s="208" t="s">
        <v>378</v>
      </c>
      <c r="E196" s="449"/>
      <c r="F196" s="179">
        <v>46235</v>
      </c>
      <c r="G196" s="180"/>
      <c r="H196" s="181"/>
      <c r="I196" s="182"/>
      <c r="J196" s="185"/>
      <c r="K196" s="185"/>
      <c r="L196" s="230"/>
      <c r="M196" s="182"/>
      <c r="N196" s="185"/>
      <c r="O196" s="185"/>
      <c r="P196" s="186"/>
      <c r="Q196" s="189"/>
      <c r="R196" s="183"/>
      <c r="S196" s="183"/>
      <c r="T196" s="184"/>
      <c r="U196" s="299"/>
      <c r="V196" s="183"/>
      <c r="W196" s="183"/>
      <c r="X196" s="209"/>
      <c r="Y196" s="185"/>
    </row>
    <row r="197" spans="1:25" x14ac:dyDescent="0.3">
      <c r="A197" s="357">
        <v>131</v>
      </c>
      <c r="B197" s="173">
        <v>6</v>
      </c>
      <c r="C197" s="203" t="s">
        <v>86</v>
      </c>
      <c r="D197" s="208" t="s">
        <v>86</v>
      </c>
      <c r="E197" s="449"/>
      <c r="F197" s="179">
        <v>46235</v>
      </c>
      <c r="G197" s="180"/>
      <c r="H197" s="181"/>
      <c r="I197" s="182"/>
      <c r="J197" s="185"/>
      <c r="K197" s="185"/>
      <c r="L197" s="230"/>
      <c r="M197" s="182"/>
      <c r="N197" s="185"/>
      <c r="O197" s="185"/>
      <c r="P197" s="186"/>
      <c r="Q197" s="189"/>
      <c r="R197" s="183"/>
      <c r="S197" s="183"/>
      <c r="T197" s="184"/>
      <c r="U197" s="299"/>
      <c r="V197" s="183"/>
      <c r="W197" s="183"/>
      <c r="X197" s="209"/>
      <c r="Y197" s="185"/>
    </row>
    <row r="198" spans="1:25" x14ac:dyDescent="0.3">
      <c r="A198" s="357">
        <v>132</v>
      </c>
      <c r="B198" s="173">
        <v>7</v>
      </c>
      <c r="C198" s="203" t="s">
        <v>87</v>
      </c>
      <c r="D198" s="208" t="s">
        <v>87</v>
      </c>
      <c r="E198" s="449"/>
      <c r="F198" s="179">
        <v>46235</v>
      </c>
      <c r="G198" s="180"/>
      <c r="H198" s="181"/>
      <c r="I198" s="182"/>
      <c r="J198" s="185"/>
      <c r="K198" s="185"/>
      <c r="L198" s="230"/>
      <c r="M198" s="182"/>
      <c r="N198" s="185"/>
      <c r="O198" s="185"/>
      <c r="P198" s="186"/>
      <c r="Q198" s="189"/>
      <c r="R198" s="183"/>
      <c r="S198" s="183"/>
      <c r="T198" s="184"/>
      <c r="U198" s="299"/>
      <c r="V198" s="183"/>
      <c r="W198" s="183"/>
      <c r="X198" s="209"/>
      <c r="Y198" s="185"/>
    </row>
    <row r="199" spans="1:25" x14ac:dyDescent="0.3">
      <c r="A199" s="357">
        <v>133</v>
      </c>
      <c r="B199" s="173">
        <v>8</v>
      </c>
      <c r="C199" s="203" t="s">
        <v>226</v>
      </c>
      <c r="D199" s="208" t="s">
        <v>226</v>
      </c>
      <c r="E199" s="449"/>
      <c r="F199" s="179">
        <v>46235</v>
      </c>
      <c r="G199" s="180"/>
      <c r="H199" s="181"/>
      <c r="I199" s="182"/>
      <c r="J199" s="185"/>
      <c r="K199" s="185"/>
      <c r="L199" s="230"/>
      <c r="M199" s="182"/>
      <c r="N199" s="185"/>
      <c r="O199" s="185"/>
      <c r="P199" s="186"/>
      <c r="Q199" s="189"/>
      <c r="R199" s="183"/>
      <c r="S199" s="183"/>
      <c r="T199" s="184"/>
      <c r="U199" s="299"/>
      <c r="V199" s="183"/>
      <c r="W199" s="183"/>
      <c r="X199" s="209"/>
      <c r="Y199" s="185"/>
    </row>
    <row r="200" spans="1:25" x14ac:dyDescent="0.3">
      <c r="A200" s="357">
        <v>134</v>
      </c>
      <c r="B200" s="173">
        <v>9</v>
      </c>
      <c r="C200" s="203" t="s">
        <v>386</v>
      </c>
      <c r="D200" s="208" t="s">
        <v>386</v>
      </c>
      <c r="E200" s="449"/>
      <c r="F200" s="179">
        <v>46235</v>
      </c>
      <c r="G200" s="180"/>
      <c r="H200" s="181"/>
      <c r="I200" s="182"/>
      <c r="J200" s="185"/>
      <c r="K200" s="185"/>
      <c r="L200" s="230"/>
      <c r="M200" s="182"/>
      <c r="N200" s="185"/>
      <c r="O200" s="185"/>
      <c r="P200" s="186"/>
      <c r="Q200" s="189"/>
      <c r="R200" s="183"/>
      <c r="S200" s="183"/>
      <c r="T200" s="184"/>
      <c r="U200" s="299"/>
      <c r="V200" s="183"/>
      <c r="W200" s="183"/>
      <c r="X200" s="209"/>
      <c r="Y200" s="185"/>
    </row>
    <row r="201" spans="1:25" x14ac:dyDescent="0.3">
      <c r="A201" s="357">
        <v>135</v>
      </c>
      <c r="B201" s="173">
        <v>10</v>
      </c>
      <c r="C201" s="203" t="s">
        <v>100</v>
      </c>
      <c r="D201" s="208" t="s">
        <v>100</v>
      </c>
      <c r="E201" s="449"/>
      <c r="F201" s="179">
        <v>46235</v>
      </c>
      <c r="G201" s="180"/>
      <c r="H201" s="181"/>
      <c r="I201" s="182"/>
      <c r="J201" s="185"/>
      <c r="K201" s="185"/>
      <c r="L201" s="230"/>
      <c r="M201" s="182"/>
      <c r="N201" s="185"/>
      <c r="O201" s="185"/>
      <c r="P201" s="186"/>
      <c r="Q201" s="189"/>
      <c r="R201" s="183"/>
      <c r="S201" s="183"/>
      <c r="T201" s="184"/>
      <c r="U201" s="299"/>
      <c r="V201" s="183"/>
      <c r="W201" s="183"/>
      <c r="X201" s="209"/>
      <c r="Y201" s="185"/>
    </row>
    <row r="202" spans="1:25" x14ac:dyDescent="0.3">
      <c r="A202" s="357">
        <v>136</v>
      </c>
      <c r="B202" s="173">
        <v>11</v>
      </c>
      <c r="C202" s="203" t="s">
        <v>396</v>
      </c>
      <c r="D202" s="208" t="s">
        <v>396</v>
      </c>
      <c r="E202" s="449"/>
      <c r="F202" s="179">
        <v>46235</v>
      </c>
      <c r="G202" s="180"/>
      <c r="H202" s="181"/>
      <c r="I202" s="182"/>
      <c r="J202" s="185"/>
      <c r="K202" s="185"/>
      <c r="L202" s="230"/>
      <c r="M202" s="182"/>
      <c r="N202" s="185"/>
      <c r="O202" s="185"/>
      <c r="P202" s="186"/>
      <c r="Q202" s="189"/>
      <c r="R202" s="183"/>
      <c r="S202" s="183"/>
      <c r="T202" s="184"/>
      <c r="U202" s="299"/>
      <c r="V202" s="183"/>
      <c r="W202" s="183"/>
      <c r="X202" s="209"/>
      <c r="Y202" s="185"/>
    </row>
    <row r="203" spans="1:25" x14ac:dyDescent="0.3">
      <c r="A203" s="357">
        <v>137</v>
      </c>
      <c r="B203" s="173">
        <v>12</v>
      </c>
      <c r="C203" s="203" t="s">
        <v>152</v>
      </c>
      <c r="D203" s="208" t="s">
        <v>152</v>
      </c>
      <c r="E203" s="449"/>
      <c r="F203" s="179">
        <v>46235</v>
      </c>
      <c r="G203" s="180"/>
      <c r="H203" s="181"/>
      <c r="I203" s="182"/>
      <c r="J203" s="185"/>
      <c r="K203" s="185"/>
      <c r="L203" s="230"/>
      <c r="M203" s="182"/>
      <c r="N203" s="185"/>
      <c r="O203" s="185"/>
      <c r="P203" s="186"/>
      <c r="Q203" s="189"/>
      <c r="R203" s="183"/>
      <c r="S203" s="183"/>
      <c r="T203" s="184"/>
      <c r="U203" s="299"/>
      <c r="V203" s="183"/>
      <c r="W203" s="183"/>
      <c r="X203" s="209"/>
      <c r="Y203" s="185"/>
    </row>
    <row r="204" spans="1:25" x14ac:dyDescent="0.3">
      <c r="A204" s="357">
        <v>138</v>
      </c>
      <c r="B204" s="173">
        <v>13</v>
      </c>
      <c r="C204" s="203" t="s">
        <v>448</v>
      </c>
      <c r="D204" s="208" t="s">
        <v>448</v>
      </c>
      <c r="E204" s="449"/>
      <c r="F204" s="179">
        <v>46235</v>
      </c>
      <c r="G204" s="180"/>
      <c r="H204" s="181"/>
      <c r="I204" s="182"/>
      <c r="J204" s="185"/>
      <c r="K204" s="185"/>
      <c r="L204" s="230"/>
      <c r="M204" s="182"/>
      <c r="N204" s="185"/>
      <c r="O204" s="185"/>
      <c r="P204" s="186"/>
      <c r="Q204" s="189"/>
      <c r="R204" s="183"/>
      <c r="S204" s="183"/>
      <c r="T204" s="184"/>
      <c r="U204" s="299"/>
      <c r="V204" s="183"/>
      <c r="W204" s="183"/>
      <c r="X204" s="209"/>
      <c r="Y204" s="185"/>
    </row>
    <row r="205" spans="1:25" ht="30.6" customHeight="1" x14ac:dyDescent="0.3">
      <c r="A205" s="367"/>
      <c r="B205" s="368" t="s">
        <v>479</v>
      </c>
      <c r="C205" s="368" t="s">
        <v>283</v>
      </c>
      <c r="D205" s="380" t="s">
        <v>691</v>
      </c>
      <c r="E205" s="382"/>
      <c r="F205" s="269"/>
      <c r="G205" s="372"/>
      <c r="H205" s="373"/>
      <c r="I205" s="374"/>
      <c r="J205" s="371"/>
      <c r="K205" s="371"/>
      <c r="L205" s="375"/>
      <c r="M205" s="374"/>
      <c r="N205" s="371"/>
      <c r="O205" s="371"/>
      <c r="P205" s="376"/>
      <c r="Q205" s="374"/>
      <c r="R205" s="371"/>
      <c r="S205" s="371"/>
      <c r="T205" s="376"/>
      <c r="U205" s="377"/>
      <c r="V205" s="371"/>
      <c r="W205" s="371"/>
      <c r="X205" s="375"/>
      <c r="Y205" s="371"/>
    </row>
    <row r="206" spans="1:25" ht="15.6" customHeight="1" x14ac:dyDescent="0.3">
      <c r="A206" s="173">
        <v>139</v>
      </c>
      <c r="B206" s="173">
        <v>1</v>
      </c>
      <c r="C206" s="203" t="s">
        <v>414</v>
      </c>
      <c r="D206" s="208" t="s">
        <v>414</v>
      </c>
      <c r="E206" s="449">
        <v>25058097.799999997</v>
      </c>
      <c r="F206" s="179">
        <v>46241</v>
      </c>
      <c r="G206" s="180"/>
      <c r="H206" s="181"/>
      <c r="I206" s="182"/>
      <c r="J206" s="185"/>
      <c r="K206" s="185"/>
      <c r="L206" s="230"/>
      <c r="M206" s="182"/>
      <c r="N206" s="185"/>
      <c r="O206" s="185"/>
      <c r="P206" s="186"/>
      <c r="Q206" s="182"/>
      <c r="R206" s="183"/>
      <c r="S206" s="183"/>
      <c r="T206" s="184"/>
      <c r="U206" s="299"/>
      <c r="V206" s="183"/>
      <c r="W206" s="183"/>
      <c r="X206" s="209"/>
      <c r="Y206" s="185"/>
    </row>
    <row r="207" spans="1:25" x14ac:dyDescent="0.3">
      <c r="A207" s="173">
        <v>140</v>
      </c>
      <c r="B207" s="173">
        <v>2</v>
      </c>
      <c r="C207" s="203" t="s">
        <v>427</v>
      </c>
      <c r="D207" s="208" t="s">
        <v>427</v>
      </c>
      <c r="E207" s="449"/>
      <c r="F207" s="179">
        <v>46241</v>
      </c>
      <c r="G207" s="180"/>
      <c r="H207" s="181"/>
      <c r="I207" s="182"/>
      <c r="J207" s="185"/>
      <c r="K207" s="185"/>
      <c r="L207" s="230"/>
      <c r="M207" s="182"/>
      <c r="N207" s="185"/>
      <c r="O207" s="185"/>
      <c r="P207" s="186"/>
      <c r="Q207" s="182"/>
      <c r="R207" s="183"/>
      <c r="S207" s="183"/>
      <c r="T207" s="184"/>
      <c r="U207" s="299"/>
      <c r="V207" s="183"/>
      <c r="W207" s="183"/>
      <c r="X207" s="209"/>
      <c r="Y207" s="185"/>
    </row>
    <row r="208" spans="1:25" x14ac:dyDescent="0.3">
      <c r="A208" s="357">
        <v>141</v>
      </c>
      <c r="B208" s="173">
        <v>3</v>
      </c>
      <c r="C208" s="203" t="s">
        <v>435</v>
      </c>
      <c r="D208" s="208" t="s">
        <v>435</v>
      </c>
      <c r="E208" s="449"/>
      <c r="F208" s="179">
        <v>46241</v>
      </c>
      <c r="G208" s="180"/>
      <c r="H208" s="181"/>
      <c r="I208" s="182"/>
      <c r="J208" s="185"/>
      <c r="K208" s="185"/>
      <c r="L208" s="230"/>
      <c r="M208" s="182"/>
      <c r="N208" s="185"/>
      <c r="O208" s="185"/>
      <c r="P208" s="186"/>
      <c r="Q208" s="182"/>
      <c r="R208" s="183"/>
      <c r="S208" s="183"/>
      <c r="T208" s="184"/>
      <c r="U208" s="299"/>
      <c r="V208" s="183"/>
      <c r="W208" s="183"/>
      <c r="X208" s="209"/>
      <c r="Y208" s="185"/>
    </row>
    <row r="209" spans="1:25" x14ac:dyDescent="0.3">
      <c r="A209" s="357">
        <v>142</v>
      </c>
      <c r="B209" s="173">
        <v>4</v>
      </c>
      <c r="C209" s="203" t="s">
        <v>367</v>
      </c>
      <c r="D209" s="208" t="s">
        <v>367</v>
      </c>
      <c r="E209" s="449"/>
      <c r="F209" s="179">
        <v>46235</v>
      </c>
      <c r="G209" s="180"/>
      <c r="H209" s="181"/>
      <c r="I209" s="182"/>
      <c r="J209" s="185"/>
      <c r="K209" s="185"/>
      <c r="L209" s="230"/>
      <c r="M209" s="182"/>
      <c r="N209" s="185"/>
      <c r="O209" s="185"/>
      <c r="P209" s="186"/>
      <c r="Q209" s="189"/>
      <c r="R209" s="183"/>
      <c r="S209" s="183"/>
      <c r="T209" s="184"/>
      <c r="U209" s="299"/>
      <c r="V209" s="183"/>
      <c r="W209" s="183"/>
      <c r="X209" s="209"/>
      <c r="Y209" s="185"/>
    </row>
    <row r="210" spans="1:25" x14ac:dyDescent="0.3">
      <c r="A210" s="357">
        <v>143</v>
      </c>
      <c r="B210" s="173">
        <v>5</v>
      </c>
      <c r="C210" s="203" t="s">
        <v>378</v>
      </c>
      <c r="D210" s="208" t="s">
        <v>378</v>
      </c>
      <c r="E210" s="449"/>
      <c r="F210" s="177" t="s">
        <v>764</v>
      </c>
      <c r="G210" s="180"/>
      <c r="H210" s="181"/>
      <c r="I210" s="182"/>
      <c r="J210" s="185"/>
      <c r="K210" s="185"/>
      <c r="L210" s="230"/>
      <c r="M210" s="182"/>
      <c r="N210" s="185"/>
      <c r="O210" s="183"/>
      <c r="P210" s="184"/>
      <c r="Q210" s="189"/>
      <c r="R210" s="263"/>
      <c r="S210" s="263"/>
      <c r="T210" s="254"/>
      <c r="U210" s="311"/>
      <c r="V210" s="263"/>
      <c r="W210" s="185"/>
      <c r="X210" s="230"/>
      <c r="Y210" s="185"/>
    </row>
    <row r="211" spans="1:25" x14ac:dyDescent="0.3">
      <c r="A211" s="357">
        <v>144</v>
      </c>
      <c r="B211" s="173">
        <v>6</v>
      </c>
      <c r="C211" s="203" t="s">
        <v>86</v>
      </c>
      <c r="D211" s="208" t="s">
        <v>86</v>
      </c>
      <c r="E211" s="449"/>
      <c r="F211" s="179" t="s">
        <v>491</v>
      </c>
      <c r="G211" s="180"/>
      <c r="H211" s="181"/>
      <c r="I211" s="182"/>
      <c r="J211" s="185"/>
      <c r="K211" s="185"/>
      <c r="L211" s="230"/>
      <c r="M211" s="189"/>
      <c r="N211" s="183"/>
      <c r="O211" s="183"/>
      <c r="P211" s="254"/>
      <c r="Q211" s="264"/>
      <c r="R211" s="263"/>
      <c r="S211" s="263"/>
      <c r="T211" s="254"/>
      <c r="U211" s="311"/>
      <c r="V211" s="263"/>
      <c r="W211" s="185"/>
      <c r="X211" s="230"/>
      <c r="Y211" s="185"/>
    </row>
    <row r="212" spans="1:25" x14ac:dyDescent="0.3">
      <c r="A212" s="357">
        <v>145</v>
      </c>
      <c r="B212" s="226">
        <v>7</v>
      </c>
      <c r="C212" s="227" t="s">
        <v>87</v>
      </c>
      <c r="D212" s="228" t="s">
        <v>87</v>
      </c>
      <c r="E212" s="449"/>
      <c r="F212" s="232" t="s">
        <v>274</v>
      </c>
      <c r="G212" s="229"/>
      <c r="H212" s="224"/>
      <c r="I212" s="225"/>
      <c r="J212" s="219"/>
      <c r="K212" s="185"/>
      <c r="L212" s="230"/>
      <c r="M212" s="182"/>
      <c r="N212" s="185"/>
      <c r="O212" s="185"/>
      <c r="P212" s="186"/>
      <c r="Q212" s="182"/>
      <c r="R212" s="185"/>
      <c r="S212" s="185"/>
      <c r="T212" s="186"/>
      <c r="U212" s="298"/>
      <c r="V212" s="185"/>
      <c r="W212" s="185"/>
      <c r="X212" s="230"/>
      <c r="Y212" s="185"/>
    </row>
    <row r="213" spans="1:25" x14ac:dyDescent="0.3">
      <c r="A213" s="357">
        <v>146</v>
      </c>
      <c r="B213" s="173">
        <v>8</v>
      </c>
      <c r="C213" s="203" t="s">
        <v>226</v>
      </c>
      <c r="D213" s="208" t="s">
        <v>226</v>
      </c>
      <c r="E213" s="449"/>
      <c r="F213" s="177" t="s">
        <v>764</v>
      </c>
      <c r="G213" s="180"/>
      <c r="H213" s="181"/>
      <c r="I213" s="182"/>
      <c r="J213" s="185"/>
      <c r="K213" s="185"/>
      <c r="L213" s="230"/>
      <c r="M213" s="182"/>
      <c r="N213" s="183"/>
      <c r="O213" s="183"/>
      <c r="P213" s="184"/>
      <c r="Q213" s="264"/>
      <c r="R213" s="263"/>
      <c r="S213" s="263"/>
      <c r="T213" s="254"/>
      <c r="U213" s="311"/>
      <c r="V213" s="263"/>
      <c r="W213" s="185"/>
      <c r="X213" s="230"/>
      <c r="Y213" s="185"/>
    </row>
    <row r="214" spans="1:25" x14ac:dyDescent="0.3">
      <c r="A214" s="357">
        <v>147</v>
      </c>
      <c r="B214" s="173">
        <v>9</v>
      </c>
      <c r="C214" s="203" t="s">
        <v>386</v>
      </c>
      <c r="D214" s="273" t="s">
        <v>386</v>
      </c>
      <c r="E214" s="449"/>
      <c r="F214" s="179" t="s">
        <v>491</v>
      </c>
      <c r="G214" s="180"/>
      <c r="H214" s="181"/>
      <c r="I214" s="182"/>
      <c r="J214" s="185"/>
      <c r="K214" s="183"/>
      <c r="L214" s="305"/>
      <c r="M214" s="189"/>
      <c r="N214" s="183"/>
      <c r="O214" s="263"/>
      <c r="P214" s="254"/>
      <c r="Q214" s="264"/>
      <c r="R214" s="263"/>
      <c r="S214" s="263"/>
      <c r="T214" s="254"/>
      <c r="U214" s="311"/>
      <c r="V214" s="263"/>
      <c r="W214" s="185"/>
      <c r="X214" s="230"/>
      <c r="Y214" s="293" t="s">
        <v>790</v>
      </c>
    </row>
    <row r="215" spans="1:25" x14ac:dyDescent="0.3">
      <c r="A215" s="357">
        <v>148</v>
      </c>
      <c r="B215" s="173">
        <v>10</v>
      </c>
      <c r="C215" s="203" t="s">
        <v>100</v>
      </c>
      <c r="D215" s="208" t="s">
        <v>100</v>
      </c>
      <c r="E215" s="449"/>
      <c r="F215" s="179">
        <v>46235</v>
      </c>
      <c r="G215" s="180"/>
      <c r="H215" s="181"/>
      <c r="I215" s="182"/>
      <c r="J215" s="185"/>
      <c r="K215" s="185"/>
      <c r="L215" s="230"/>
      <c r="M215" s="182"/>
      <c r="N215" s="185"/>
      <c r="O215" s="183"/>
      <c r="P215" s="184"/>
      <c r="Q215" s="189"/>
      <c r="R215" s="185"/>
      <c r="S215" s="185"/>
      <c r="T215" s="186"/>
      <c r="U215" s="298"/>
      <c r="V215" s="185"/>
      <c r="W215" s="185"/>
      <c r="X215" s="230"/>
      <c r="Y215" s="185"/>
    </row>
    <row r="216" spans="1:25" x14ac:dyDescent="0.3">
      <c r="A216" s="357">
        <v>149</v>
      </c>
      <c r="B216" s="173">
        <v>11</v>
      </c>
      <c r="C216" s="203" t="s">
        <v>396</v>
      </c>
      <c r="D216" s="273" t="s">
        <v>396</v>
      </c>
      <c r="E216" s="449"/>
      <c r="F216" s="179" t="s">
        <v>491</v>
      </c>
      <c r="G216" s="180"/>
      <c r="H216" s="181"/>
      <c r="I216" s="182"/>
      <c r="J216" s="185"/>
      <c r="K216" s="183"/>
      <c r="L216" s="305"/>
      <c r="M216" s="189"/>
      <c r="N216" s="183"/>
      <c r="O216" s="183"/>
      <c r="P216" s="184"/>
      <c r="Q216" s="189"/>
      <c r="R216" s="185"/>
      <c r="S216" s="185"/>
      <c r="T216" s="186"/>
      <c r="U216" s="298"/>
      <c r="V216" s="185"/>
      <c r="W216" s="185"/>
      <c r="X216" s="230"/>
      <c r="Y216" s="293" t="s">
        <v>790</v>
      </c>
    </row>
    <row r="217" spans="1:25" x14ac:dyDescent="0.3">
      <c r="A217" s="357">
        <v>150</v>
      </c>
      <c r="B217" s="173">
        <v>12</v>
      </c>
      <c r="C217" s="203" t="s">
        <v>152</v>
      </c>
      <c r="D217" s="208" t="s">
        <v>152</v>
      </c>
      <c r="E217" s="449"/>
      <c r="F217" s="179">
        <v>46235</v>
      </c>
      <c r="G217" s="180"/>
      <c r="H217" s="181"/>
      <c r="I217" s="182"/>
      <c r="J217" s="185"/>
      <c r="K217" s="185"/>
      <c r="L217" s="230"/>
      <c r="M217" s="182"/>
      <c r="N217" s="185"/>
      <c r="O217" s="183"/>
      <c r="P217" s="184"/>
      <c r="Q217" s="189"/>
      <c r="R217" s="185"/>
      <c r="S217" s="185"/>
      <c r="T217" s="186"/>
      <c r="U217" s="298"/>
      <c r="V217" s="185"/>
      <c r="W217" s="185"/>
      <c r="X217" s="230"/>
      <c r="Y217" s="185"/>
    </row>
    <row r="218" spans="1:25" x14ac:dyDescent="0.3">
      <c r="A218" s="357">
        <v>151</v>
      </c>
      <c r="B218" s="173">
        <v>13</v>
      </c>
      <c r="C218" s="203" t="s">
        <v>448</v>
      </c>
      <c r="D218" s="208" t="s">
        <v>448</v>
      </c>
      <c r="E218" s="449"/>
      <c r="F218" s="179">
        <v>46235</v>
      </c>
      <c r="G218" s="180"/>
      <c r="H218" s="181"/>
      <c r="I218" s="182"/>
      <c r="J218" s="185"/>
      <c r="K218" s="185"/>
      <c r="L218" s="230"/>
      <c r="M218" s="182"/>
      <c r="N218" s="185"/>
      <c r="O218" s="183"/>
      <c r="P218" s="184"/>
      <c r="Q218" s="189"/>
      <c r="R218" s="185"/>
      <c r="S218" s="185"/>
      <c r="T218" s="186"/>
      <c r="U218" s="298"/>
      <c r="V218" s="185"/>
      <c r="W218" s="185"/>
      <c r="X218" s="230"/>
      <c r="Y218" s="185"/>
    </row>
    <row r="219" spans="1:25" ht="33" customHeight="1" x14ac:dyDescent="0.3">
      <c r="A219" s="367"/>
      <c r="B219" s="368" t="s">
        <v>479</v>
      </c>
      <c r="C219" s="368" t="s">
        <v>283</v>
      </c>
      <c r="D219" s="380" t="s">
        <v>556</v>
      </c>
      <c r="E219" s="370">
        <v>23538645.559999999</v>
      </c>
      <c r="F219" s="269"/>
      <c r="G219" s="383" t="s">
        <v>557</v>
      </c>
      <c r="H219" s="373"/>
      <c r="I219" s="374"/>
      <c r="J219" s="371"/>
      <c r="K219" s="371"/>
      <c r="L219" s="375"/>
      <c r="M219" s="374"/>
      <c r="N219" s="371"/>
      <c r="O219" s="371"/>
      <c r="P219" s="376"/>
      <c r="Q219" s="374"/>
      <c r="R219" s="371"/>
      <c r="S219" s="371"/>
      <c r="T219" s="376"/>
      <c r="U219" s="377"/>
      <c r="V219" s="371"/>
      <c r="W219" s="371"/>
      <c r="X219" s="375"/>
      <c r="Y219" s="371"/>
    </row>
    <row r="220" spans="1:25" x14ac:dyDescent="0.3">
      <c r="A220" s="173">
        <v>152</v>
      </c>
      <c r="B220" s="195">
        <v>1</v>
      </c>
      <c r="C220" s="210" t="s">
        <v>558</v>
      </c>
      <c r="D220" s="185"/>
      <c r="E220" s="207"/>
      <c r="F220" s="179" t="s">
        <v>764</v>
      </c>
      <c r="G220" s="180"/>
      <c r="H220" s="181"/>
      <c r="I220" s="264"/>
      <c r="J220" s="263"/>
      <c r="K220" s="183"/>
      <c r="L220" s="209"/>
      <c r="M220" s="189"/>
      <c r="N220" s="183"/>
      <c r="O220" s="185"/>
      <c r="P220" s="186"/>
      <c r="Q220" s="182"/>
      <c r="R220" s="185"/>
      <c r="S220" s="185"/>
      <c r="T220" s="186"/>
      <c r="U220" s="298"/>
      <c r="V220" s="185"/>
      <c r="W220" s="185"/>
      <c r="X220" s="230"/>
      <c r="Y220" s="185"/>
    </row>
    <row r="221" spans="1:25" x14ac:dyDescent="0.3">
      <c r="A221" s="173">
        <v>153</v>
      </c>
      <c r="B221" s="195">
        <v>2</v>
      </c>
      <c r="C221" s="211" t="s">
        <v>427</v>
      </c>
      <c r="D221" s="185"/>
      <c r="E221" s="207"/>
      <c r="F221" s="179" t="s">
        <v>764</v>
      </c>
      <c r="G221" s="180"/>
      <c r="H221" s="181"/>
      <c r="I221" s="264"/>
      <c r="J221" s="263"/>
      <c r="K221" s="183"/>
      <c r="L221" s="209"/>
      <c r="M221" s="189"/>
      <c r="N221" s="183"/>
      <c r="O221" s="185"/>
      <c r="P221" s="186"/>
      <c r="Q221" s="182"/>
      <c r="R221" s="185"/>
      <c r="S221" s="185"/>
      <c r="T221" s="186"/>
      <c r="U221" s="298"/>
      <c r="V221" s="185"/>
      <c r="W221" s="185"/>
      <c r="X221" s="230"/>
      <c r="Y221" s="185"/>
    </row>
    <row r="222" spans="1:25" x14ac:dyDescent="0.3">
      <c r="A222" s="357">
        <v>154</v>
      </c>
      <c r="B222" s="195">
        <v>3</v>
      </c>
      <c r="C222" s="211" t="s">
        <v>435</v>
      </c>
      <c r="D222" s="185"/>
      <c r="E222" s="207"/>
      <c r="F222" s="179" t="s">
        <v>764</v>
      </c>
      <c r="G222" s="180"/>
      <c r="H222" s="181"/>
      <c r="I222" s="264"/>
      <c r="J222" s="263"/>
      <c r="K222" s="183"/>
      <c r="L222" s="209"/>
      <c r="M222" s="189"/>
      <c r="N222" s="183"/>
      <c r="O222" s="185"/>
      <c r="P222" s="186"/>
      <c r="Q222" s="182"/>
      <c r="R222" s="185"/>
      <c r="S222" s="185"/>
      <c r="T222" s="186"/>
      <c r="U222" s="298"/>
      <c r="V222" s="185"/>
      <c r="W222" s="185"/>
      <c r="X222" s="230"/>
      <c r="Y222" s="185"/>
    </row>
    <row r="223" spans="1:25" x14ac:dyDescent="0.3">
      <c r="A223" s="357">
        <v>155</v>
      </c>
      <c r="B223" s="195">
        <v>4</v>
      </c>
      <c r="C223" s="211" t="s">
        <v>796</v>
      </c>
      <c r="D223" s="185"/>
      <c r="E223" s="207"/>
      <c r="F223" s="232" t="s">
        <v>274</v>
      </c>
      <c r="G223" s="180"/>
      <c r="H223" s="181"/>
      <c r="I223" s="264"/>
      <c r="J223" s="263"/>
      <c r="K223" s="183"/>
      <c r="L223" s="209"/>
      <c r="M223" s="189"/>
      <c r="N223" s="183"/>
      <c r="O223" s="185"/>
      <c r="P223" s="186"/>
      <c r="Q223" s="182"/>
      <c r="R223" s="185"/>
      <c r="S223" s="185"/>
      <c r="T223" s="186"/>
      <c r="U223" s="298"/>
      <c r="V223" s="185"/>
      <c r="W223" s="185"/>
      <c r="X223" s="230"/>
      <c r="Y223" s="185"/>
    </row>
    <row r="224" spans="1:25" x14ac:dyDescent="0.3">
      <c r="A224" s="357">
        <v>156</v>
      </c>
      <c r="B224" s="303" t="s">
        <v>799</v>
      </c>
      <c r="C224" s="211" t="s">
        <v>797</v>
      </c>
      <c r="D224" s="185"/>
      <c r="E224" s="207"/>
      <c r="F224" s="179" t="s">
        <v>798</v>
      </c>
      <c r="G224" s="180"/>
      <c r="H224" s="181"/>
      <c r="I224" s="264"/>
      <c r="J224" s="263"/>
      <c r="K224" s="183"/>
      <c r="L224" s="209"/>
      <c r="M224" s="189"/>
      <c r="N224" s="183"/>
      <c r="O224" s="263"/>
      <c r="P224" s="254"/>
      <c r="Q224" s="264"/>
      <c r="R224" s="263"/>
      <c r="S224" s="185"/>
      <c r="T224" s="186"/>
      <c r="U224" s="298"/>
      <c r="V224" s="185"/>
      <c r="W224" s="185"/>
      <c r="X224" s="230"/>
      <c r="Y224" s="185"/>
    </row>
    <row r="225" spans="1:25" x14ac:dyDescent="0.3">
      <c r="A225" s="357">
        <v>157</v>
      </c>
      <c r="B225" s="195">
        <v>5</v>
      </c>
      <c r="C225" s="211" t="s">
        <v>1082</v>
      </c>
      <c r="D225" s="185"/>
      <c r="E225" s="207"/>
      <c r="F225" s="179" t="s">
        <v>798</v>
      </c>
      <c r="G225" s="180"/>
      <c r="H225" s="181"/>
      <c r="I225" s="264"/>
      <c r="J225" s="263"/>
      <c r="K225" s="183"/>
      <c r="L225" s="209"/>
      <c r="M225" s="189"/>
      <c r="N225" s="183"/>
      <c r="O225" s="263"/>
      <c r="P225" s="254"/>
      <c r="Q225" s="264"/>
      <c r="R225" s="263"/>
      <c r="S225" s="185"/>
      <c r="T225" s="186"/>
      <c r="U225" s="298"/>
      <c r="V225" s="185"/>
      <c r="W225" s="185"/>
      <c r="X225" s="230"/>
      <c r="Y225" s="185"/>
    </row>
    <row r="226" spans="1:25" x14ac:dyDescent="0.3">
      <c r="A226" s="357">
        <v>158</v>
      </c>
      <c r="B226" s="195">
        <v>6</v>
      </c>
      <c r="C226" s="252" t="s">
        <v>559</v>
      </c>
      <c r="D226" s="185"/>
      <c r="E226" s="253"/>
      <c r="F226" s="232" t="s">
        <v>274</v>
      </c>
      <c r="G226" s="180"/>
      <c r="H226" s="181"/>
      <c r="I226" s="182"/>
      <c r="J226" s="185"/>
      <c r="K226" s="185"/>
      <c r="L226" s="230"/>
      <c r="M226" s="182"/>
      <c r="N226" s="185"/>
      <c r="O226" s="185"/>
      <c r="P226" s="186"/>
      <c r="Q226" s="182"/>
      <c r="R226" s="185"/>
      <c r="S226" s="185"/>
      <c r="T226" s="186"/>
      <c r="U226" s="298"/>
      <c r="V226" s="185"/>
      <c r="W226" s="185"/>
      <c r="X226" s="230"/>
      <c r="Y226" s="185"/>
    </row>
    <row r="227" spans="1:25" x14ac:dyDescent="0.3">
      <c r="A227" s="357">
        <v>159</v>
      </c>
      <c r="B227" s="195">
        <v>9</v>
      </c>
      <c r="C227" s="252" t="s">
        <v>560</v>
      </c>
      <c r="D227" s="185"/>
      <c r="E227" s="253"/>
      <c r="F227" s="232" t="s">
        <v>274</v>
      </c>
      <c r="G227" s="180"/>
      <c r="H227" s="181"/>
      <c r="I227" s="182"/>
      <c r="J227" s="185"/>
      <c r="K227" s="185"/>
      <c r="L227" s="230"/>
      <c r="M227" s="182"/>
      <c r="N227" s="185"/>
      <c r="O227" s="185"/>
      <c r="P227" s="186"/>
      <c r="Q227" s="182"/>
      <c r="R227" s="185"/>
      <c r="S227" s="185"/>
      <c r="T227" s="186"/>
      <c r="U227" s="298"/>
      <c r="V227" s="185"/>
      <c r="W227" s="185"/>
      <c r="X227" s="230"/>
      <c r="Y227" s="185"/>
    </row>
    <row r="228" spans="1:25" x14ac:dyDescent="0.3">
      <c r="A228" s="357">
        <v>160</v>
      </c>
      <c r="B228" s="195">
        <v>10</v>
      </c>
      <c r="C228" s="252" t="s">
        <v>561</v>
      </c>
      <c r="D228" s="185"/>
      <c r="E228" s="253"/>
      <c r="F228" s="232" t="s">
        <v>274</v>
      </c>
      <c r="G228" s="180"/>
      <c r="H228" s="181"/>
      <c r="I228" s="182"/>
      <c r="J228" s="185"/>
      <c r="K228" s="185"/>
      <c r="L228" s="230"/>
      <c r="M228" s="182"/>
      <c r="N228" s="185"/>
      <c r="O228" s="185"/>
      <c r="P228" s="186"/>
      <c r="Q228" s="182"/>
      <c r="R228" s="185"/>
      <c r="S228" s="185"/>
      <c r="T228" s="186"/>
      <c r="U228" s="298"/>
      <c r="V228" s="185"/>
      <c r="W228" s="185"/>
      <c r="X228" s="230"/>
      <c r="Y228" s="185"/>
    </row>
    <row r="229" spans="1:25" x14ac:dyDescent="0.3">
      <c r="A229" s="357">
        <v>161</v>
      </c>
      <c r="B229" s="195">
        <v>11</v>
      </c>
      <c r="C229" s="252" t="s">
        <v>562</v>
      </c>
      <c r="D229" s="185"/>
      <c r="E229" s="253"/>
      <c r="F229" s="232" t="s">
        <v>274</v>
      </c>
      <c r="G229" s="180"/>
      <c r="H229" s="181"/>
      <c r="I229" s="182"/>
      <c r="J229" s="185"/>
      <c r="K229" s="185"/>
      <c r="L229" s="230"/>
      <c r="M229" s="182"/>
      <c r="N229" s="185"/>
      <c r="O229" s="185"/>
      <c r="P229" s="186"/>
      <c r="Q229" s="182"/>
      <c r="R229" s="185"/>
      <c r="S229" s="185"/>
      <c r="T229" s="186"/>
      <c r="U229" s="298"/>
      <c r="V229" s="185"/>
      <c r="W229" s="185"/>
      <c r="X229" s="230"/>
      <c r="Y229" s="185"/>
    </row>
    <row r="230" spans="1:25" x14ac:dyDescent="0.3">
      <c r="A230" s="357">
        <v>162</v>
      </c>
      <c r="B230" s="195">
        <v>12</v>
      </c>
      <c r="C230" s="211" t="s">
        <v>100</v>
      </c>
      <c r="D230" s="185"/>
      <c r="E230" s="207"/>
      <c r="F230" s="179" t="s">
        <v>764</v>
      </c>
      <c r="G230" s="180"/>
      <c r="H230" s="181"/>
      <c r="I230" s="264"/>
      <c r="J230" s="263"/>
      <c r="K230" s="183"/>
      <c r="L230" s="209"/>
      <c r="M230" s="189"/>
      <c r="N230" s="183"/>
      <c r="O230" s="185"/>
      <c r="P230" s="186"/>
      <c r="Q230" s="182"/>
      <c r="R230" s="185"/>
      <c r="S230" s="185"/>
      <c r="T230" s="186"/>
      <c r="U230" s="298"/>
      <c r="V230" s="185"/>
      <c r="W230" s="185"/>
      <c r="X230" s="230"/>
      <c r="Y230" s="185"/>
    </row>
    <row r="231" spans="1:25" x14ac:dyDescent="0.3">
      <c r="A231" s="357">
        <v>163</v>
      </c>
      <c r="B231" s="195">
        <v>13</v>
      </c>
      <c r="C231" s="211" t="s">
        <v>101</v>
      </c>
      <c r="D231" s="185"/>
      <c r="E231" s="207"/>
      <c r="F231" s="179" t="s">
        <v>764</v>
      </c>
      <c r="G231" s="180"/>
      <c r="H231" s="181"/>
      <c r="I231" s="264"/>
      <c r="J231" s="263"/>
      <c r="K231" s="183"/>
      <c r="L231" s="209"/>
      <c r="M231" s="189"/>
      <c r="N231" s="183"/>
      <c r="O231" s="185"/>
      <c r="P231" s="186"/>
      <c r="Q231" s="182"/>
      <c r="R231" s="185"/>
      <c r="S231" s="185"/>
      <c r="T231" s="186"/>
      <c r="U231" s="298"/>
      <c r="V231" s="185"/>
      <c r="W231" s="185"/>
      <c r="X231" s="230"/>
      <c r="Y231" s="185"/>
    </row>
    <row r="232" spans="1:25" x14ac:dyDescent="0.3">
      <c r="A232" s="357">
        <v>164</v>
      </c>
      <c r="B232" s="195">
        <v>14</v>
      </c>
      <c r="C232" s="211" t="s">
        <v>563</v>
      </c>
      <c r="D232" s="185"/>
      <c r="E232" s="207"/>
      <c r="F232" s="179" t="s">
        <v>764</v>
      </c>
      <c r="G232" s="180"/>
      <c r="H232" s="181"/>
      <c r="I232" s="264"/>
      <c r="J232" s="263"/>
      <c r="K232" s="183"/>
      <c r="L232" s="209"/>
      <c r="M232" s="189"/>
      <c r="N232" s="183"/>
      <c r="O232" s="185"/>
      <c r="P232" s="186"/>
      <c r="Q232" s="182"/>
      <c r="R232" s="185"/>
      <c r="S232" s="185"/>
      <c r="T232" s="186"/>
      <c r="U232" s="298"/>
      <c r="V232" s="185"/>
      <c r="W232" s="185"/>
      <c r="X232" s="230"/>
      <c r="Y232" s="185"/>
    </row>
    <row r="233" spans="1:25" ht="31.2" hidden="1" x14ac:dyDescent="0.3">
      <c r="A233" s="173">
        <v>150</v>
      </c>
      <c r="B233" s="151" t="s">
        <v>479</v>
      </c>
      <c r="C233" s="151" t="s">
        <v>283</v>
      </c>
      <c r="D233" s="152" t="s">
        <v>564</v>
      </c>
      <c r="E233" s="207"/>
      <c r="F233" s="212"/>
      <c r="G233" s="180"/>
      <c r="H233" s="181"/>
      <c r="I233" s="182"/>
      <c r="J233" s="185"/>
      <c r="K233" s="185"/>
      <c r="L233" s="230"/>
      <c r="M233" s="182"/>
      <c r="N233" s="185"/>
      <c r="O233" s="185"/>
      <c r="P233" s="186"/>
      <c r="Q233" s="182"/>
      <c r="R233" s="185"/>
      <c r="S233" s="185"/>
      <c r="T233" s="186"/>
      <c r="U233" s="298"/>
      <c r="V233" s="185"/>
      <c r="W233" s="185"/>
      <c r="X233" s="230"/>
      <c r="Y233" s="185"/>
    </row>
    <row r="234" spans="1:25" ht="15" hidden="1" customHeight="1" x14ac:dyDescent="0.3">
      <c r="A234" s="173">
        <v>151</v>
      </c>
      <c r="B234" s="195">
        <v>1</v>
      </c>
      <c r="C234" s="251" t="s">
        <v>565</v>
      </c>
      <c r="D234" s="252"/>
      <c r="E234" s="465">
        <v>1094565.73</v>
      </c>
      <c r="F234" s="232" t="s">
        <v>274</v>
      </c>
      <c r="G234" s="180"/>
      <c r="H234" s="181"/>
      <c r="I234" s="182"/>
      <c r="J234" s="185"/>
      <c r="K234" s="185"/>
      <c r="L234" s="230"/>
      <c r="M234" s="182"/>
      <c r="N234" s="185"/>
      <c r="O234" s="185"/>
      <c r="P234" s="186"/>
      <c r="Q234" s="182"/>
      <c r="R234" s="185"/>
      <c r="S234" s="185"/>
      <c r="T234" s="186"/>
      <c r="U234" s="298"/>
      <c r="V234" s="185"/>
      <c r="W234" s="185"/>
      <c r="X234" s="230"/>
      <c r="Y234" s="185"/>
    </row>
    <row r="235" spans="1:25" ht="15" hidden="1" customHeight="1" x14ac:dyDescent="0.3">
      <c r="A235" s="173">
        <v>152</v>
      </c>
      <c r="B235" s="195">
        <v>2</v>
      </c>
      <c r="C235" s="251" t="s">
        <v>566</v>
      </c>
      <c r="D235" s="252"/>
      <c r="E235" s="465"/>
      <c r="F235" s="232" t="s">
        <v>274</v>
      </c>
      <c r="G235" s="180"/>
      <c r="H235" s="181"/>
      <c r="I235" s="182"/>
      <c r="J235" s="185"/>
      <c r="K235" s="185"/>
      <c r="L235" s="230"/>
      <c r="M235" s="182"/>
      <c r="N235" s="185"/>
      <c r="O235" s="185"/>
      <c r="P235" s="186"/>
      <c r="Q235" s="182"/>
      <c r="R235" s="185"/>
      <c r="S235" s="185"/>
      <c r="T235" s="186"/>
      <c r="U235" s="298"/>
      <c r="V235" s="185"/>
      <c r="W235" s="185"/>
      <c r="X235" s="230"/>
      <c r="Y235" s="185"/>
    </row>
    <row r="236" spans="1:25" ht="15" hidden="1" customHeight="1" x14ac:dyDescent="0.3">
      <c r="A236" s="173">
        <v>153</v>
      </c>
      <c r="B236" s="195">
        <v>3</v>
      </c>
      <c r="C236" s="251" t="s">
        <v>567</v>
      </c>
      <c r="D236" s="252"/>
      <c r="E236" s="465"/>
      <c r="F236" s="232" t="s">
        <v>274</v>
      </c>
      <c r="G236" s="180"/>
      <c r="H236" s="181"/>
      <c r="I236" s="182"/>
      <c r="J236" s="185"/>
      <c r="K236" s="185"/>
      <c r="L236" s="230"/>
      <c r="M236" s="182"/>
      <c r="N236" s="185"/>
      <c r="O236" s="185"/>
      <c r="P236" s="186"/>
      <c r="Q236" s="182"/>
      <c r="R236" s="185"/>
      <c r="S236" s="185"/>
      <c r="T236" s="186"/>
      <c r="U236" s="298"/>
      <c r="V236" s="185"/>
      <c r="W236" s="185"/>
      <c r="X236" s="230"/>
      <c r="Y236" s="185"/>
    </row>
    <row r="237" spans="1:25" ht="15" hidden="1" customHeight="1" x14ac:dyDescent="0.3">
      <c r="A237" s="173">
        <v>154</v>
      </c>
      <c r="B237" s="195">
        <v>4</v>
      </c>
      <c r="C237" s="251" t="s">
        <v>568</v>
      </c>
      <c r="D237" s="252"/>
      <c r="E237" s="465"/>
      <c r="F237" s="232" t="s">
        <v>274</v>
      </c>
      <c r="G237" s="180"/>
      <c r="H237" s="181"/>
      <c r="I237" s="182"/>
      <c r="J237" s="185"/>
      <c r="K237" s="185"/>
      <c r="L237" s="230"/>
      <c r="M237" s="182"/>
      <c r="N237" s="185"/>
      <c r="O237" s="185"/>
      <c r="P237" s="186"/>
      <c r="Q237" s="182"/>
      <c r="R237" s="185"/>
      <c r="S237" s="185"/>
      <c r="T237" s="186"/>
      <c r="U237" s="298"/>
      <c r="V237" s="185"/>
      <c r="W237" s="185"/>
      <c r="X237" s="230"/>
      <c r="Y237" s="185"/>
    </row>
    <row r="238" spans="1:25" ht="15" hidden="1" customHeight="1" x14ac:dyDescent="0.3">
      <c r="A238" s="173">
        <v>155</v>
      </c>
      <c r="B238" s="195">
        <v>5</v>
      </c>
      <c r="C238" s="251" t="s">
        <v>569</v>
      </c>
      <c r="D238" s="252"/>
      <c r="E238" s="465"/>
      <c r="F238" s="232" t="s">
        <v>274</v>
      </c>
      <c r="G238" s="180"/>
      <c r="H238" s="181"/>
      <c r="I238" s="182"/>
      <c r="J238" s="185"/>
      <c r="K238" s="185"/>
      <c r="L238" s="230"/>
      <c r="M238" s="182"/>
      <c r="N238" s="185"/>
      <c r="O238" s="185"/>
      <c r="P238" s="186"/>
      <c r="Q238" s="182"/>
      <c r="R238" s="185"/>
      <c r="S238" s="185"/>
      <c r="T238" s="186"/>
      <c r="U238" s="298"/>
      <c r="V238" s="185"/>
      <c r="W238" s="185"/>
      <c r="X238" s="230"/>
      <c r="Y238" s="185"/>
    </row>
    <row r="239" spans="1:25" ht="15" hidden="1" customHeight="1" x14ac:dyDescent="0.3">
      <c r="A239" s="173">
        <v>156</v>
      </c>
      <c r="B239" s="195">
        <v>6</v>
      </c>
      <c r="C239" s="251" t="s">
        <v>570</v>
      </c>
      <c r="D239" s="252"/>
      <c r="E239" s="465"/>
      <c r="F239" s="232" t="s">
        <v>274</v>
      </c>
      <c r="G239" s="180"/>
      <c r="H239" s="181"/>
      <c r="I239" s="182"/>
      <c r="J239" s="185"/>
      <c r="K239" s="185"/>
      <c r="L239" s="230"/>
      <c r="M239" s="182"/>
      <c r="N239" s="185"/>
      <c r="O239" s="185"/>
      <c r="P239" s="186"/>
      <c r="Q239" s="182"/>
      <c r="R239" s="185"/>
      <c r="S239" s="185"/>
      <c r="T239" s="186"/>
      <c r="U239" s="298"/>
      <c r="V239" s="185"/>
      <c r="W239" s="185"/>
      <c r="X239" s="230"/>
      <c r="Y239" s="185"/>
    </row>
    <row r="240" spans="1:25" ht="15" hidden="1" customHeight="1" x14ac:dyDescent="0.3">
      <c r="A240" s="173">
        <v>157</v>
      </c>
      <c r="B240" s="195">
        <v>7</v>
      </c>
      <c r="C240" s="251" t="s">
        <v>571</v>
      </c>
      <c r="D240" s="252"/>
      <c r="E240" s="465"/>
      <c r="F240" s="232" t="s">
        <v>274</v>
      </c>
      <c r="G240" s="180"/>
      <c r="H240" s="181"/>
      <c r="I240" s="182"/>
      <c r="J240" s="185"/>
      <c r="K240" s="185"/>
      <c r="L240" s="230"/>
      <c r="M240" s="182"/>
      <c r="N240" s="185"/>
      <c r="O240" s="185"/>
      <c r="P240" s="186"/>
      <c r="Q240" s="182"/>
      <c r="R240" s="185"/>
      <c r="S240" s="185"/>
      <c r="T240" s="186"/>
      <c r="U240" s="298"/>
      <c r="V240" s="185"/>
      <c r="W240" s="185"/>
      <c r="X240" s="230"/>
      <c r="Y240" s="185"/>
    </row>
    <row r="241" spans="1:25" ht="15" hidden="1" customHeight="1" x14ac:dyDescent="0.3">
      <c r="A241" s="173">
        <v>158</v>
      </c>
      <c r="B241" s="195">
        <v>8</v>
      </c>
      <c r="C241" s="251" t="s">
        <v>572</v>
      </c>
      <c r="D241" s="252"/>
      <c r="E241" s="465"/>
      <c r="F241" s="232" t="s">
        <v>274</v>
      </c>
      <c r="G241" s="180"/>
      <c r="H241" s="181"/>
      <c r="I241" s="182"/>
      <c r="J241" s="185"/>
      <c r="K241" s="185"/>
      <c r="L241" s="230"/>
      <c r="M241" s="182"/>
      <c r="N241" s="185"/>
      <c r="O241" s="185"/>
      <c r="P241" s="186"/>
      <c r="Q241" s="182"/>
      <c r="R241" s="185"/>
      <c r="S241" s="185"/>
      <c r="T241" s="186"/>
      <c r="U241" s="298"/>
      <c r="V241" s="185"/>
      <c r="W241" s="185"/>
      <c r="X241" s="230"/>
      <c r="Y241" s="185"/>
    </row>
    <row r="242" spans="1:25" ht="15" hidden="1" customHeight="1" x14ac:dyDescent="0.3">
      <c r="A242" s="173">
        <v>159</v>
      </c>
      <c r="B242" s="195">
        <v>9</v>
      </c>
      <c r="C242" s="251" t="s">
        <v>573</v>
      </c>
      <c r="D242" s="252"/>
      <c r="E242" s="465"/>
      <c r="F242" s="232" t="s">
        <v>274</v>
      </c>
      <c r="G242" s="180"/>
      <c r="H242" s="181"/>
      <c r="I242" s="182"/>
      <c r="J242" s="185"/>
      <c r="K242" s="185"/>
      <c r="L242" s="230"/>
      <c r="M242" s="182"/>
      <c r="N242" s="185"/>
      <c r="O242" s="185"/>
      <c r="P242" s="186"/>
      <c r="Q242" s="182"/>
      <c r="R242" s="185"/>
      <c r="S242" s="185"/>
      <c r="T242" s="186"/>
      <c r="U242" s="298"/>
      <c r="V242" s="185"/>
      <c r="W242" s="185"/>
      <c r="X242" s="230"/>
      <c r="Y242" s="185"/>
    </row>
    <row r="243" spans="1:25" ht="15" hidden="1" customHeight="1" x14ac:dyDescent="0.3">
      <c r="A243" s="173">
        <v>160</v>
      </c>
      <c r="B243" s="195">
        <v>10</v>
      </c>
      <c r="C243" s="251" t="s">
        <v>574</v>
      </c>
      <c r="D243" s="252"/>
      <c r="E243" s="465"/>
      <c r="F243" s="232" t="s">
        <v>274</v>
      </c>
      <c r="G243" s="180"/>
      <c r="H243" s="181"/>
      <c r="I243" s="182"/>
      <c r="J243" s="185"/>
      <c r="K243" s="185"/>
      <c r="L243" s="230"/>
      <c r="M243" s="182"/>
      <c r="N243" s="185"/>
      <c r="O243" s="185"/>
      <c r="P243" s="186"/>
      <c r="Q243" s="182"/>
      <c r="R243" s="185"/>
      <c r="S243" s="185"/>
      <c r="T243" s="186"/>
      <c r="U243" s="298"/>
      <c r="V243" s="185"/>
      <c r="W243" s="185"/>
      <c r="X243" s="230"/>
      <c r="Y243" s="185"/>
    </row>
    <row r="244" spans="1:25" ht="15" hidden="1" customHeight="1" x14ac:dyDescent="0.3">
      <c r="A244" s="173">
        <v>161</v>
      </c>
      <c r="B244" s="195">
        <v>11</v>
      </c>
      <c r="C244" s="251" t="s">
        <v>575</v>
      </c>
      <c r="D244" s="252"/>
      <c r="E244" s="465"/>
      <c r="F244" s="232" t="s">
        <v>274</v>
      </c>
      <c r="G244" s="180"/>
      <c r="H244" s="181"/>
      <c r="I244" s="182"/>
      <c r="J244" s="185"/>
      <c r="K244" s="185"/>
      <c r="L244" s="230"/>
      <c r="M244" s="182"/>
      <c r="N244" s="185"/>
      <c r="O244" s="185"/>
      <c r="P244" s="186"/>
      <c r="Q244" s="182"/>
      <c r="R244" s="185"/>
      <c r="S244" s="185"/>
      <c r="T244" s="186"/>
      <c r="U244" s="298"/>
      <c r="V244" s="185"/>
      <c r="W244" s="185"/>
      <c r="X244" s="230"/>
      <c r="Y244" s="185"/>
    </row>
    <row r="245" spans="1:25" ht="31.5" customHeight="1" x14ac:dyDescent="0.3">
      <c r="A245" s="367"/>
      <c r="B245" s="368" t="s">
        <v>479</v>
      </c>
      <c r="C245" s="368" t="s">
        <v>283</v>
      </c>
      <c r="D245" s="369" t="s">
        <v>10</v>
      </c>
      <c r="E245" s="370">
        <v>70226188.200000003</v>
      </c>
      <c r="F245" s="269"/>
      <c r="G245" s="383" t="s">
        <v>576</v>
      </c>
      <c r="H245" s="373"/>
      <c r="I245" s="374"/>
      <c r="J245" s="371"/>
      <c r="K245" s="371"/>
      <c r="L245" s="375"/>
      <c r="M245" s="374"/>
      <c r="N245" s="371"/>
      <c r="O245" s="371"/>
      <c r="P245" s="376"/>
      <c r="Q245" s="374"/>
      <c r="R245" s="371"/>
      <c r="S245" s="371"/>
      <c r="T245" s="376"/>
      <c r="U245" s="377"/>
      <c r="V245" s="371"/>
      <c r="W245" s="371"/>
      <c r="X245" s="375"/>
      <c r="Y245" s="371"/>
    </row>
    <row r="246" spans="1:25" ht="62.4" x14ac:dyDescent="0.3">
      <c r="A246" s="173">
        <v>165</v>
      </c>
      <c r="B246" s="173">
        <v>1</v>
      </c>
      <c r="C246" s="213" t="s">
        <v>577</v>
      </c>
      <c r="D246" s="232" t="s">
        <v>1088</v>
      </c>
      <c r="E246" s="349"/>
      <c r="F246" s="348" t="s">
        <v>1086</v>
      </c>
      <c r="G246" s="180" t="s">
        <v>579</v>
      </c>
      <c r="H246" s="181"/>
      <c r="I246" s="182"/>
      <c r="J246" s="185"/>
      <c r="K246" s="185"/>
      <c r="L246" s="230"/>
      <c r="M246" s="182"/>
      <c r="N246" s="185"/>
      <c r="O246" s="185"/>
      <c r="P246" s="355"/>
      <c r="Q246" s="353"/>
      <c r="R246" s="353"/>
      <c r="S246" s="354"/>
      <c r="T246" s="355"/>
      <c r="U246" s="360"/>
      <c r="V246" s="354"/>
      <c r="W246" s="183"/>
      <c r="X246" s="209"/>
      <c r="Y246" s="296" t="s">
        <v>801</v>
      </c>
    </row>
    <row r="247" spans="1:25" ht="62.4" x14ac:dyDescent="0.3">
      <c r="A247" s="357">
        <v>165</v>
      </c>
      <c r="B247" s="173">
        <v>2</v>
      </c>
      <c r="C247" s="213" t="s">
        <v>578</v>
      </c>
      <c r="D247" s="232" t="s">
        <v>1088</v>
      </c>
      <c r="E247" s="349"/>
      <c r="F247" s="348" t="s">
        <v>1086</v>
      </c>
      <c r="G247" s="180" t="s">
        <v>579</v>
      </c>
      <c r="H247" s="181"/>
      <c r="I247" s="182"/>
      <c r="J247" s="185"/>
      <c r="K247" s="185"/>
      <c r="L247" s="230"/>
      <c r="M247" s="182"/>
      <c r="N247" s="185"/>
      <c r="O247" s="185"/>
      <c r="P247" s="355"/>
      <c r="Q247" s="353"/>
      <c r="R247" s="353"/>
      <c r="S247" s="354"/>
      <c r="T247" s="355"/>
      <c r="U247" s="360"/>
      <c r="V247" s="183"/>
      <c r="W247" s="183"/>
      <c r="X247" s="209"/>
      <c r="Y247" s="296" t="s">
        <v>802</v>
      </c>
    </row>
    <row r="248" spans="1:25" ht="62.4" x14ac:dyDescent="0.3">
      <c r="A248" s="357">
        <v>165</v>
      </c>
      <c r="B248" s="173">
        <v>3</v>
      </c>
      <c r="C248" s="213" t="s">
        <v>67</v>
      </c>
      <c r="D248" s="232" t="s">
        <v>1083</v>
      </c>
      <c r="E248" s="349"/>
      <c r="F248" s="348" t="s">
        <v>1086</v>
      </c>
      <c r="G248" s="180" t="s">
        <v>579</v>
      </c>
      <c r="H248" s="181"/>
      <c r="I248" s="182"/>
      <c r="J248" s="185"/>
      <c r="K248" s="185"/>
      <c r="L248" s="230"/>
      <c r="M248" s="182"/>
      <c r="N248" s="185"/>
      <c r="O248" s="185"/>
      <c r="P248" s="355"/>
      <c r="Q248" s="353"/>
      <c r="R248" s="353"/>
      <c r="S248" s="354"/>
      <c r="T248" s="355"/>
      <c r="U248" s="360"/>
      <c r="V248" s="354"/>
      <c r="W248" s="354"/>
      <c r="X248" s="209"/>
      <c r="Y248" s="296" t="s">
        <v>818</v>
      </c>
    </row>
    <row r="249" spans="1:25" ht="62.4" x14ac:dyDescent="0.3">
      <c r="A249" s="357">
        <v>165</v>
      </c>
      <c r="B249" s="173">
        <v>4</v>
      </c>
      <c r="C249" s="213" t="s">
        <v>72</v>
      </c>
      <c r="D249" s="232" t="s">
        <v>1083</v>
      </c>
      <c r="E249" s="349"/>
      <c r="F249" s="348" t="s">
        <v>1086</v>
      </c>
      <c r="G249" s="180" t="s">
        <v>579</v>
      </c>
      <c r="H249" s="181"/>
      <c r="I249" s="182"/>
      <c r="J249" s="185"/>
      <c r="K249" s="185"/>
      <c r="L249" s="230"/>
      <c r="M249" s="182"/>
      <c r="N249" s="185"/>
      <c r="O249" s="185"/>
      <c r="P249" s="355"/>
      <c r="Q249" s="353"/>
      <c r="R249" s="353"/>
      <c r="S249" s="354"/>
      <c r="T249" s="355"/>
      <c r="U249" s="360"/>
      <c r="V249" s="354"/>
      <c r="W249" s="354"/>
      <c r="X249" s="209"/>
      <c r="Y249" s="296" t="s">
        <v>803</v>
      </c>
    </row>
    <row r="250" spans="1:25" ht="62.4" x14ac:dyDescent="0.3">
      <c r="A250" s="357">
        <v>165</v>
      </c>
      <c r="B250" s="173">
        <v>5</v>
      </c>
      <c r="C250" s="213" t="s">
        <v>74</v>
      </c>
      <c r="D250" s="232" t="s">
        <v>1088</v>
      </c>
      <c r="E250" s="349"/>
      <c r="F250" s="348" t="s">
        <v>1086</v>
      </c>
      <c r="G250" s="180" t="s">
        <v>579</v>
      </c>
      <c r="H250" s="181"/>
      <c r="I250" s="182"/>
      <c r="J250" s="185"/>
      <c r="K250" s="185"/>
      <c r="L250" s="230"/>
      <c r="M250" s="182"/>
      <c r="N250" s="185"/>
      <c r="O250" s="185"/>
      <c r="P250" s="355"/>
      <c r="Q250" s="353"/>
      <c r="R250" s="353"/>
      <c r="S250" s="354"/>
      <c r="T250" s="355"/>
      <c r="U250" s="360"/>
      <c r="V250" s="354"/>
      <c r="W250" s="354"/>
      <c r="X250" s="209"/>
      <c r="Y250" s="296" t="s">
        <v>804</v>
      </c>
    </row>
    <row r="251" spans="1:25" ht="62.4" x14ac:dyDescent="0.3">
      <c r="A251" s="357">
        <v>165</v>
      </c>
      <c r="B251" s="173">
        <v>6</v>
      </c>
      <c r="C251" s="213" t="s">
        <v>75</v>
      </c>
      <c r="D251" s="232" t="s">
        <v>1088</v>
      </c>
      <c r="E251" s="349"/>
      <c r="F251" s="348" t="s">
        <v>1086</v>
      </c>
      <c r="G251" s="180" t="s">
        <v>579</v>
      </c>
      <c r="H251" s="181"/>
      <c r="I251" s="182"/>
      <c r="J251" s="185"/>
      <c r="K251" s="185"/>
      <c r="L251" s="230"/>
      <c r="M251" s="182"/>
      <c r="N251" s="185"/>
      <c r="O251" s="185"/>
      <c r="P251" s="355"/>
      <c r="Q251" s="353"/>
      <c r="R251" s="353"/>
      <c r="S251" s="354"/>
      <c r="T251" s="355"/>
      <c r="U251" s="360"/>
      <c r="V251" s="354"/>
      <c r="W251" s="354"/>
      <c r="X251" s="209"/>
      <c r="Y251" s="296" t="s">
        <v>805</v>
      </c>
    </row>
    <row r="252" spans="1:25" ht="62.4" x14ac:dyDescent="0.3">
      <c r="A252" s="357">
        <v>165</v>
      </c>
      <c r="B252" s="173">
        <v>7</v>
      </c>
      <c r="C252" s="213" t="s">
        <v>52</v>
      </c>
      <c r="D252" s="232" t="s">
        <v>757</v>
      </c>
      <c r="E252" s="349"/>
      <c r="F252" s="348" t="s">
        <v>1086</v>
      </c>
      <c r="G252" s="180" t="s">
        <v>579</v>
      </c>
      <c r="H252" s="181"/>
      <c r="I252" s="182"/>
      <c r="J252" s="185"/>
      <c r="K252" s="185"/>
      <c r="L252" s="230"/>
      <c r="M252" s="182"/>
      <c r="N252" s="185"/>
      <c r="O252" s="185"/>
      <c r="P252" s="355"/>
      <c r="Q252" s="353"/>
      <c r="R252" s="354"/>
      <c r="S252" s="354"/>
      <c r="T252" s="355"/>
      <c r="U252" s="360"/>
      <c r="V252" s="183"/>
      <c r="W252" s="183"/>
      <c r="X252" s="209"/>
      <c r="Y252" s="296" t="s">
        <v>806</v>
      </c>
    </row>
    <row r="253" spans="1:25" ht="62.4" x14ac:dyDescent="0.3">
      <c r="A253" s="357">
        <v>165</v>
      </c>
      <c r="B253" s="173">
        <v>8</v>
      </c>
      <c r="C253" s="213" t="s">
        <v>55</v>
      </c>
      <c r="D253" s="232" t="s">
        <v>757</v>
      </c>
      <c r="E253" s="349"/>
      <c r="F253" s="348" t="s">
        <v>1086</v>
      </c>
      <c r="G253" s="180" t="s">
        <v>579</v>
      </c>
      <c r="H253" s="181"/>
      <c r="I253" s="182"/>
      <c r="J253" s="185"/>
      <c r="K253" s="185"/>
      <c r="L253" s="230"/>
      <c r="M253" s="182"/>
      <c r="N253" s="185"/>
      <c r="O253" s="185"/>
      <c r="P253" s="355"/>
      <c r="Q253" s="353"/>
      <c r="R253" s="354"/>
      <c r="S253" s="354"/>
      <c r="T253" s="355"/>
      <c r="U253" s="360"/>
      <c r="V253" s="354"/>
      <c r="W253" s="183"/>
      <c r="X253" s="209"/>
      <c r="Y253" s="296" t="s">
        <v>807</v>
      </c>
    </row>
    <row r="254" spans="1:25" ht="31.2" x14ac:dyDescent="0.3">
      <c r="A254" s="357">
        <v>165</v>
      </c>
      <c r="B254" s="173">
        <v>9</v>
      </c>
      <c r="C254" s="213" t="s">
        <v>56</v>
      </c>
      <c r="D254" s="232" t="s">
        <v>1089</v>
      </c>
      <c r="E254" s="349"/>
      <c r="F254" s="348" t="s">
        <v>1087</v>
      </c>
      <c r="G254" s="180" t="s">
        <v>579</v>
      </c>
      <c r="H254" s="181"/>
      <c r="I254" s="182"/>
      <c r="J254" s="185"/>
      <c r="K254" s="185"/>
      <c r="L254" s="230"/>
      <c r="M254" s="182"/>
      <c r="N254" s="185"/>
      <c r="O254" s="185"/>
      <c r="P254" s="355"/>
      <c r="Q254" s="353"/>
      <c r="R254" s="354"/>
      <c r="S254" s="354"/>
      <c r="T254" s="355"/>
      <c r="U254" s="360"/>
      <c r="V254" s="354"/>
      <c r="W254" s="354"/>
      <c r="X254" s="209"/>
      <c r="Y254" s="296" t="s">
        <v>819</v>
      </c>
    </row>
    <row r="255" spans="1:25" ht="62.4" x14ac:dyDescent="0.3">
      <c r="A255" s="357">
        <v>165</v>
      </c>
      <c r="B255" s="173">
        <v>10</v>
      </c>
      <c r="C255" s="213" t="s">
        <v>58</v>
      </c>
      <c r="D255" s="232" t="s">
        <v>757</v>
      </c>
      <c r="E255" s="349"/>
      <c r="F255" s="348" t="s">
        <v>1086</v>
      </c>
      <c r="G255" s="180" t="s">
        <v>579</v>
      </c>
      <c r="H255" s="181"/>
      <c r="I255" s="182"/>
      <c r="J255" s="185"/>
      <c r="K255" s="185"/>
      <c r="L255" s="230"/>
      <c r="M255" s="182"/>
      <c r="N255" s="185"/>
      <c r="O255" s="185"/>
      <c r="P255" s="355"/>
      <c r="Q255" s="353"/>
      <c r="R255" s="354"/>
      <c r="S255" s="354"/>
      <c r="T255" s="355"/>
      <c r="U255" s="299"/>
      <c r="V255" s="183"/>
      <c r="W255" s="183"/>
      <c r="X255" s="209"/>
      <c r="Y255" s="296" t="s">
        <v>808</v>
      </c>
    </row>
    <row r="256" spans="1:25" ht="42.6" customHeight="1" x14ac:dyDescent="0.3">
      <c r="A256" s="357">
        <v>165</v>
      </c>
      <c r="B256" s="173">
        <v>11</v>
      </c>
      <c r="C256" s="213" t="s">
        <v>88</v>
      </c>
      <c r="D256" s="232" t="s">
        <v>757</v>
      </c>
      <c r="E256" s="349"/>
      <c r="F256" s="348" t="s">
        <v>1086</v>
      </c>
      <c r="G256" s="180" t="s">
        <v>579</v>
      </c>
      <c r="H256" s="181"/>
      <c r="I256" s="182"/>
      <c r="J256" s="185"/>
      <c r="K256" s="185"/>
      <c r="L256" s="230"/>
      <c r="M256" s="182"/>
      <c r="N256" s="185"/>
      <c r="O256" s="185"/>
      <c r="P256" s="355"/>
      <c r="Q256" s="353"/>
      <c r="R256" s="354"/>
      <c r="S256" s="354"/>
      <c r="T256" s="355"/>
      <c r="U256" s="299"/>
      <c r="V256" s="183"/>
      <c r="W256" s="183"/>
      <c r="X256" s="209"/>
      <c r="Y256" s="296" t="s">
        <v>809</v>
      </c>
    </row>
    <row r="257" spans="1:25" ht="62.4" x14ac:dyDescent="0.3">
      <c r="A257" s="357">
        <v>165</v>
      </c>
      <c r="B257" s="173">
        <v>12</v>
      </c>
      <c r="C257" s="213" t="s">
        <v>89</v>
      </c>
      <c r="D257" s="232" t="s">
        <v>757</v>
      </c>
      <c r="E257" s="349"/>
      <c r="F257" s="348" t="s">
        <v>1086</v>
      </c>
      <c r="G257" s="180" t="s">
        <v>579</v>
      </c>
      <c r="H257" s="181"/>
      <c r="I257" s="182"/>
      <c r="J257" s="185"/>
      <c r="K257" s="185"/>
      <c r="L257" s="230"/>
      <c r="M257" s="182"/>
      <c r="N257" s="185"/>
      <c r="O257" s="185"/>
      <c r="P257" s="355"/>
      <c r="Q257" s="353"/>
      <c r="R257" s="354"/>
      <c r="S257" s="354"/>
      <c r="T257" s="355"/>
      <c r="U257" s="299"/>
      <c r="V257" s="183"/>
      <c r="W257" s="183"/>
      <c r="X257" s="209"/>
      <c r="Y257" s="296" t="s">
        <v>819</v>
      </c>
    </row>
    <row r="258" spans="1:25" ht="62.4" x14ac:dyDescent="0.3">
      <c r="A258" s="357">
        <v>165</v>
      </c>
      <c r="B258" s="173">
        <v>13</v>
      </c>
      <c r="C258" s="213" t="s">
        <v>91</v>
      </c>
      <c r="D258" s="232" t="s">
        <v>757</v>
      </c>
      <c r="E258" s="349"/>
      <c r="F258" s="348" t="s">
        <v>1086</v>
      </c>
      <c r="G258" s="180" t="s">
        <v>579</v>
      </c>
      <c r="H258" s="181"/>
      <c r="I258" s="182"/>
      <c r="J258" s="185"/>
      <c r="K258" s="185"/>
      <c r="L258" s="230"/>
      <c r="M258" s="182"/>
      <c r="N258" s="185"/>
      <c r="O258" s="185"/>
      <c r="P258" s="355"/>
      <c r="Q258" s="353"/>
      <c r="R258" s="354"/>
      <c r="S258" s="354"/>
      <c r="T258" s="355"/>
      <c r="U258" s="360"/>
      <c r="V258" s="183"/>
      <c r="W258" s="183"/>
      <c r="X258" s="209"/>
      <c r="Y258" s="296" t="s">
        <v>810</v>
      </c>
    </row>
    <row r="259" spans="1:25" ht="62.4" x14ac:dyDescent="0.3">
      <c r="A259" s="357">
        <v>165</v>
      </c>
      <c r="B259" s="173">
        <v>14</v>
      </c>
      <c r="C259" s="213" t="s">
        <v>93</v>
      </c>
      <c r="D259" s="232" t="s">
        <v>757</v>
      </c>
      <c r="E259" s="349"/>
      <c r="F259" s="348" t="s">
        <v>1086</v>
      </c>
      <c r="G259" s="180" t="s">
        <v>579</v>
      </c>
      <c r="H259" s="181"/>
      <c r="I259" s="182"/>
      <c r="J259" s="185"/>
      <c r="K259" s="185"/>
      <c r="L259" s="230"/>
      <c r="M259" s="182"/>
      <c r="N259" s="185"/>
      <c r="O259" s="185"/>
      <c r="P259" s="355"/>
      <c r="Q259" s="353"/>
      <c r="R259" s="354"/>
      <c r="S259" s="354"/>
      <c r="T259" s="355"/>
      <c r="U259" s="360"/>
      <c r="V259" s="354"/>
      <c r="W259" s="354"/>
      <c r="X259" s="209"/>
      <c r="Y259" s="296" t="s">
        <v>811</v>
      </c>
    </row>
    <row r="260" spans="1:25" ht="62.4" x14ac:dyDescent="0.3">
      <c r="A260" s="357">
        <v>165</v>
      </c>
      <c r="B260" s="173">
        <v>15</v>
      </c>
      <c r="C260" s="213" t="s">
        <v>95</v>
      </c>
      <c r="D260" s="232" t="s">
        <v>757</v>
      </c>
      <c r="E260" s="349"/>
      <c r="F260" s="348" t="s">
        <v>1086</v>
      </c>
      <c r="G260" s="180" t="s">
        <v>579</v>
      </c>
      <c r="H260" s="181"/>
      <c r="I260" s="182"/>
      <c r="J260" s="185"/>
      <c r="K260" s="185"/>
      <c r="L260" s="230"/>
      <c r="M260" s="182"/>
      <c r="N260" s="185"/>
      <c r="O260" s="185"/>
      <c r="P260" s="355"/>
      <c r="Q260" s="353"/>
      <c r="R260" s="354"/>
      <c r="S260" s="354"/>
      <c r="T260" s="355"/>
      <c r="U260" s="360"/>
      <c r="V260" s="354"/>
      <c r="W260" s="354"/>
      <c r="X260" s="209"/>
      <c r="Y260" s="296" t="s">
        <v>812</v>
      </c>
    </row>
    <row r="261" spans="1:25" ht="78" x14ac:dyDescent="0.3">
      <c r="A261" s="357">
        <v>165</v>
      </c>
      <c r="B261" s="173">
        <v>16</v>
      </c>
      <c r="C261" s="213" t="s">
        <v>63</v>
      </c>
      <c r="D261" s="232" t="s">
        <v>1083</v>
      </c>
      <c r="E261" s="349"/>
      <c r="F261" s="348" t="s">
        <v>1084</v>
      </c>
      <c r="G261" s="180" t="s">
        <v>579</v>
      </c>
      <c r="H261" s="181"/>
      <c r="I261" s="182"/>
      <c r="J261" s="185"/>
      <c r="K261" s="185"/>
      <c r="L261" s="230"/>
      <c r="M261" s="182"/>
      <c r="N261" s="185"/>
      <c r="O261" s="185"/>
      <c r="P261" s="355"/>
      <c r="Q261" s="353"/>
      <c r="R261" s="354"/>
      <c r="S261" s="354"/>
      <c r="T261" s="355"/>
      <c r="U261" s="360"/>
      <c r="V261" s="354"/>
      <c r="W261" s="354"/>
      <c r="X261" s="209"/>
      <c r="Y261" s="296" t="s">
        <v>819</v>
      </c>
    </row>
    <row r="262" spans="1:25" ht="78" x14ac:dyDescent="0.3">
      <c r="A262" s="357">
        <v>165</v>
      </c>
      <c r="B262" s="173">
        <v>17</v>
      </c>
      <c r="C262" s="213" t="s">
        <v>64</v>
      </c>
      <c r="D262" s="232" t="s">
        <v>1083</v>
      </c>
      <c r="E262" s="349"/>
      <c r="F262" s="348" t="s">
        <v>1084</v>
      </c>
      <c r="G262" s="180" t="s">
        <v>579</v>
      </c>
      <c r="H262" s="181"/>
      <c r="I262" s="182"/>
      <c r="J262" s="185"/>
      <c r="K262" s="185"/>
      <c r="L262" s="230"/>
      <c r="M262" s="182"/>
      <c r="N262" s="185"/>
      <c r="O262" s="185"/>
      <c r="P262" s="355"/>
      <c r="Q262" s="353"/>
      <c r="R262" s="354"/>
      <c r="S262" s="354"/>
      <c r="T262" s="355"/>
      <c r="U262" s="299"/>
      <c r="V262" s="183"/>
      <c r="W262" s="183"/>
      <c r="X262" s="209"/>
      <c r="Y262" s="296" t="s">
        <v>819</v>
      </c>
    </row>
    <row r="263" spans="1:25" ht="62.4" x14ac:dyDescent="0.3">
      <c r="A263" s="357">
        <v>165</v>
      </c>
      <c r="B263" s="173">
        <v>18</v>
      </c>
      <c r="C263" s="213" t="s">
        <v>66</v>
      </c>
      <c r="D263" s="232" t="s">
        <v>757</v>
      </c>
      <c r="E263" s="349"/>
      <c r="F263" s="348" t="s">
        <v>1086</v>
      </c>
      <c r="G263" s="180" t="s">
        <v>579</v>
      </c>
      <c r="H263" s="181"/>
      <c r="I263" s="182"/>
      <c r="J263" s="185"/>
      <c r="K263" s="185"/>
      <c r="L263" s="230"/>
      <c r="M263" s="182"/>
      <c r="N263" s="185"/>
      <c r="O263" s="185"/>
      <c r="P263" s="355"/>
      <c r="Q263" s="353"/>
      <c r="R263" s="354"/>
      <c r="S263" s="354"/>
      <c r="T263" s="355"/>
      <c r="U263" s="299"/>
      <c r="V263" s="183"/>
      <c r="W263" s="183"/>
      <c r="X263" s="209"/>
      <c r="Y263" s="296" t="s">
        <v>819</v>
      </c>
    </row>
    <row r="264" spans="1:25" ht="62.4" x14ac:dyDescent="0.3">
      <c r="A264" s="357">
        <v>165</v>
      </c>
      <c r="B264" s="173">
        <v>19</v>
      </c>
      <c r="C264" s="213" t="s">
        <v>70</v>
      </c>
      <c r="D264" s="232" t="s">
        <v>757</v>
      </c>
      <c r="E264" s="349"/>
      <c r="F264" s="348" t="s">
        <v>1086</v>
      </c>
      <c r="G264" s="180" t="s">
        <v>579</v>
      </c>
      <c r="H264" s="181"/>
      <c r="I264" s="182"/>
      <c r="J264" s="185"/>
      <c r="K264" s="185"/>
      <c r="L264" s="230"/>
      <c r="M264" s="182"/>
      <c r="N264" s="185"/>
      <c r="O264" s="185"/>
      <c r="P264" s="355"/>
      <c r="Q264" s="353"/>
      <c r="R264" s="354"/>
      <c r="S264" s="354"/>
      <c r="T264" s="355"/>
      <c r="U264" s="360"/>
      <c r="V264" s="354"/>
      <c r="W264" s="354"/>
      <c r="X264" s="209"/>
      <c r="Y264" s="296" t="s">
        <v>813</v>
      </c>
    </row>
    <row r="265" spans="1:25" ht="62.4" x14ac:dyDescent="0.3">
      <c r="A265" s="357">
        <v>165</v>
      </c>
      <c r="B265" s="173">
        <v>20</v>
      </c>
      <c r="C265" s="213" t="s">
        <v>71</v>
      </c>
      <c r="D265" s="232" t="s">
        <v>757</v>
      </c>
      <c r="E265" s="349"/>
      <c r="F265" s="348" t="s">
        <v>1086</v>
      </c>
      <c r="G265" s="180" t="s">
        <v>579</v>
      </c>
      <c r="H265" s="181"/>
      <c r="I265" s="182"/>
      <c r="J265" s="185"/>
      <c r="K265" s="185"/>
      <c r="L265" s="230"/>
      <c r="M265" s="182"/>
      <c r="N265" s="185"/>
      <c r="O265" s="185"/>
      <c r="P265" s="355"/>
      <c r="Q265" s="353"/>
      <c r="R265" s="354"/>
      <c r="S265" s="354"/>
      <c r="T265" s="355"/>
      <c r="U265" s="360"/>
      <c r="V265" s="354"/>
      <c r="W265" s="354"/>
      <c r="X265" s="209"/>
      <c r="Y265" s="296" t="s">
        <v>814</v>
      </c>
    </row>
    <row r="266" spans="1:25" ht="62.4" x14ac:dyDescent="0.3">
      <c r="A266" s="357">
        <v>165</v>
      </c>
      <c r="B266" s="173">
        <v>21</v>
      </c>
      <c r="C266" s="213" t="s">
        <v>77</v>
      </c>
      <c r="D266" s="232" t="s">
        <v>757</v>
      </c>
      <c r="E266" s="349"/>
      <c r="F266" s="348" t="s">
        <v>1086</v>
      </c>
      <c r="G266" s="180" t="s">
        <v>579</v>
      </c>
      <c r="H266" s="181"/>
      <c r="I266" s="182"/>
      <c r="J266" s="185"/>
      <c r="K266" s="185"/>
      <c r="L266" s="230"/>
      <c r="M266" s="182"/>
      <c r="N266" s="185"/>
      <c r="O266" s="185"/>
      <c r="P266" s="355"/>
      <c r="Q266" s="353"/>
      <c r="R266" s="354"/>
      <c r="S266" s="354"/>
      <c r="T266" s="355"/>
      <c r="U266" s="360"/>
      <c r="V266" s="354"/>
      <c r="W266" s="354"/>
      <c r="X266" s="209"/>
      <c r="Y266" s="296" t="s">
        <v>815</v>
      </c>
    </row>
    <row r="267" spans="1:25" ht="78" x14ac:dyDescent="0.3">
      <c r="A267" s="357">
        <v>165</v>
      </c>
      <c r="B267" s="173">
        <v>22</v>
      </c>
      <c r="C267" s="213" t="s">
        <v>78</v>
      </c>
      <c r="D267" s="232" t="s">
        <v>1088</v>
      </c>
      <c r="E267" s="349"/>
      <c r="F267" s="348" t="s">
        <v>1085</v>
      </c>
      <c r="G267" s="180" t="s">
        <v>579</v>
      </c>
      <c r="H267" s="181"/>
      <c r="I267" s="182"/>
      <c r="J267" s="185"/>
      <c r="K267" s="185"/>
      <c r="L267" s="230"/>
      <c r="M267" s="182"/>
      <c r="N267" s="185"/>
      <c r="O267" s="185"/>
      <c r="P267" s="355"/>
      <c r="Q267" s="353"/>
      <c r="R267" s="354"/>
      <c r="S267" s="354"/>
      <c r="T267" s="355"/>
      <c r="U267" s="360"/>
      <c r="V267" s="354"/>
      <c r="W267" s="354"/>
      <c r="X267" s="209"/>
      <c r="Y267" s="185" t="s">
        <v>816</v>
      </c>
    </row>
    <row r="268" spans="1:25" ht="78" x14ac:dyDescent="0.3">
      <c r="A268" s="357">
        <v>165</v>
      </c>
      <c r="B268" s="173">
        <v>23</v>
      </c>
      <c r="C268" s="213" t="s">
        <v>79</v>
      </c>
      <c r="D268" s="232" t="s">
        <v>1088</v>
      </c>
      <c r="E268" s="349"/>
      <c r="F268" s="348" t="s">
        <v>1085</v>
      </c>
      <c r="G268" s="180" t="s">
        <v>579</v>
      </c>
      <c r="H268" s="181"/>
      <c r="I268" s="182"/>
      <c r="J268" s="185"/>
      <c r="K268" s="185"/>
      <c r="L268" s="230"/>
      <c r="M268" s="182"/>
      <c r="N268" s="185"/>
      <c r="O268" s="185"/>
      <c r="P268" s="355"/>
      <c r="Q268" s="353"/>
      <c r="R268" s="354"/>
      <c r="S268" s="354"/>
      <c r="T268" s="355"/>
      <c r="U268" s="360"/>
      <c r="V268" s="354"/>
      <c r="W268" s="354"/>
      <c r="X268" s="209"/>
      <c r="Y268" s="185" t="s">
        <v>817</v>
      </c>
    </row>
    <row r="269" spans="1:25" ht="44.4" customHeight="1" x14ac:dyDescent="0.3">
      <c r="A269" s="367"/>
      <c r="B269" s="367"/>
      <c r="C269" s="388"/>
      <c r="D269" s="384" t="s">
        <v>580</v>
      </c>
      <c r="E269" s="382"/>
      <c r="F269" s="269"/>
      <c r="G269" s="372"/>
      <c r="H269" s="373"/>
      <c r="I269" s="374"/>
      <c r="J269" s="371"/>
      <c r="K269" s="371"/>
      <c r="L269" s="375"/>
      <c r="M269" s="374"/>
      <c r="N269" s="371"/>
      <c r="O269" s="371"/>
      <c r="P269" s="376"/>
      <c r="Q269" s="374"/>
      <c r="R269" s="371"/>
      <c r="S269" s="371"/>
      <c r="T269" s="376"/>
      <c r="U269" s="377"/>
      <c r="V269" s="371"/>
      <c r="W269" s="371"/>
      <c r="X269" s="375"/>
      <c r="Y269" s="371"/>
    </row>
    <row r="270" spans="1:25" ht="30.6" customHeight="1" x14ac:dyDescent="0.3">
      <c r="A270" s="357">
        <v>166</v>
      </c>
      <c r="B270" s="352">
        <v>1</v>
      </c>
      <c r="C270" s="350" t="s">
        <v>822</v>
      </c>
      <c r="D270" s="185"/>
      <c r="E270" s="207"/>
      <c r="F270" s="178"/>
      <c r="G270" s="357"/>
      <c r="H270" s="230"/>
      <c r="I270" s="182"/>
      <c r="J270" s="185"/>
      <c r="K270" s="185"/>
      <c r="L270" s="230"/>
      <c r="M270" s="182"/>
      <c r="N270" s="185"/>
      <c r="O270" s="185"/>
      <c r="P270" s="186"/>
      <c r="Q270" s="182"/>
      <c r="R270" s="185"/>
      <c r="S270" s="185"/>
      <c r="T270" s="186"/>
      <c r="U270" s="360"/>
      <c r="V270" s="354"/>
      <c r="W270" s="354"/>
      <c r="X270" s="321"/>
      <c r="Y270" s="193" t="s">
        <v>764</v>
      </c>
    </row>
    <row r="271" spans="1:25" ht="30.6" customHeight="1" x14ac:dyDescent="0.3">
      <c r="A271" s="357">
        <v>167</v>
      </c>
      <c r="B271" s="352">
        <v>2</v>
      </c>
      <c r="C271" s="350" t="s">
        <v>823</v>
      </c>
      <c r="D271" s="185"/>
      <c r="E271" s="207"/>
      <c r="F271" s="178"/>
      <c r="G271" s="357"/>
      <c r="H271" s="230"/>
      <c r="I271" s="182"/>
      <c r="J271" s="185"/>
      <c r="K271" s="185"/>
      <c r="L271" s="230"/>
      <c r="M271" s="182"/>
      <c r="N271" s="185"/>
      <c r="O271" s="185"/>
      <c r="P271" s="186"/>
      <c r="Q271" s="353"/>
      <c r="R271" s="354"/>
      <c r="S271" s="354"/>
      <c r="T271" s="355"/>
      <c r="U271" s="360"/>
      <c r="V271" s="354"/>
      <c r="W271" s="354"/>
      <c r="X271" s="321"/>
      <c r="Y271" s="193" t="s">
        <v>764</v>
      </c>
    </row>
    <row r="272" spans="1:25" ht="30.6" customHeight="1" x14ac:dyDescent="0.3">
      <c r="A272" s="357">
        <v>168</v>
      </c>
      <c r="B272" s="352">
        <v>3</v>
      </c>
      <c r="C272" s="350" t="s">
        <v>827</v>
      </c>
      <c r="D272" s="185"/>
      <c r="E272" s="207"/>
      <c r="F272" s="178"/>
      <c r="G272" s="357"/>
      <c r="H272" s="230"/>
      <c r="I272" s="182"/>
      <c r="J272" s="185"/>
      <c r="K272" s="185"/>
      <c r="L272" s="230"/>
      <c r="M272" s="182"/>
      <c r="N272" s="185"/>
      <c r="O272" s="185"/>
      <c r="P272" s="186"/>
      <c r="Q272" s="353"/>
      <c r="R272" s="354"/>
      <c r="S272" s="354"/>
      <c r="T272" s="355"/>
      <c r="U272" s="322"/>
      <c r="V272" s="320"/>
      <c r="W272" s="320"/>
      <c r="X272" s="321"/>
      <c r="Y272" s="351" t="s">
        <v>1094</v>
      </c>
    </row>
    <row r="273" spans="1:25" ht="30.6" customHeight="1" x14ac:dyDescent="0.3">
      <c r="A273" s="357">
        <v>169</v>
      </c>
      <c r="B273" s="352">
        <v>4</v>
      </c>
      <c r="C273" s="350" t="s">
        <v>825</v>
      </c>
      <c r="D273" s="185"/>
      <c r="E273" s="207"/>
      <c r="F273" s="178"/>
      <c r="G273" s="357"/>
      <c r="H273" s="230"/>
      <c r="I273" s="182"/>
      <c r="J273" s="185"/>
      <c r="K273" s="185"/>
      <c r="L273" s="230"/>
      <c r="M273" s="182"/>
      <c r="N273" s="185"/>
      <c r="O273" s="185"/>
      <c r="P273" s="186"/>
      <c r="Q273" s="353"/>
      <c r="R273" s="354"/>
      <c r="S273" s="354"/>
      <c r="T273" s="355"/>
      <c r="U273" s="360"/>
      <c r="V273" s="354"/>
      <c r="W273" s="354"/>
      <c r="X273" s="321"/>
      <c r="Y273" s="193" t="s">
        <v>764</v>
      </c>
    </row>
    <row r="274" spans="1:25" ht="30.6" customHeight="1" x14ac:dyDescent="0.3">
      <c r="A274" s="357">
        <v>170</v>
      </c>
      <c r="B274" s="352">
        <v>5</v>
      </c>
      <c r="C274" s="350" t="s">
        <v>829</v>
      </c>
      <c r="D274" s="185"/>
      <c r="E274" s="207"/>
      <c r="F274" s="178"/>
      <c r="G274" s="357"/>
      <c r="H274" s="230"/>
      <c r="I274" s="182"/>
      <c r="J274" s="185"/>
      <c r="K274" s="185"/>
      <c r="L274" s="230"/>
      <c r="M274" s="182"/>
      <c r="N274" s="185"/>
      <c r="O274" s="185"/>
      <c r="P274" s="186"/>
      <c r="Q274" s="353"/>
      <c r="R274" s="354"/>
      <c r="S274" s="354"/>
      <c r="T274" s="355"/>
      <c r="U274" s="360"/>
      <c r="V274" s="354"/>
      <c r="W274" s="354"/>
      <c r="X274" s="321"/>
      <c r="Y274" s="193" t="s">
        <v>764</v>
      </c>
    </row>
    <row r="275" spans="1:25" ht="30.6" customHeight="1" x14ac:dyDescent="0.3">
      <c r="A275" s="357">
        <v>171</v>
      </c>
      <c r="B275" s="352">
        <v>6</v>
      </c>
      <c r="C275" s="350" t="s">
        <v>831</v>
      </c>
      <c r="D275" s="185"/>
      <c r="E275" s="207"/>
      <c r="F275" s="178"/>
      <c r="G275" s="357"/>
      <c r="H275" s="230"/>
      <c r="I275" s="182"/>
      <c r="J275" s="185"/>
      <c r="K275" s="185"/>
      <c r="L275" s="230"/>
      <c r="M275" s="182"/>
      <c r="N275" s="185"/>
      <c r="O275" s="185"/>
      <c r="P275" s="186"/>
      <c r="Q275" s="353"/>
      <c r="R275" s="354"/>
      <c r="S275" s="354"/>
      <c r="T275" s="355"/>
      <c r="U275" s="360"/>
      <c r="V275" s="354"/>
      <c r="W275" s="354"/>
      <c r="X275" s="321"/>
      <c r="Y275" s="193" t="s">
        <v>764</v>
      </c>
    </row>
    <row r="276" spans="1:25" ht="30.6" customHeight="1" x14ac:dyDescent="0.3">
      <c r="A276" s="357">
        <v>172</v>
      </c>
      <c r="B276" s="352">
        <v>7</v>
      </c>
      <c r="C276" s="350" t="s">
        <v>836</v>
      </c>
      <c r="D276" s="185"/>
      <c r="E276" s="207"/>
      <c r="F276" s="178"/>
      <c r="G276" s="357"/>
      <c r="H276" s="230"/>
      <c r="I276" s="182"/>
      <c r="J276" s="185"/>
      <c r="K276" s="185"/>
      <c r="L276" s="230"/>
      <c r="M276" s="182"/>
      <c r="N276" s="185"/>
      <c r="O276" s="185"/>
      <c r="P276" s="186"/>
      <c r="Q276" s="353"/>
      <c r="R276" s="354"/>
      <c r="S276" s="354"/>
      <c r="T276" s="355"/>
      <c r="U276" s="322"/>
      <c r="V276" s="320"/>
      <c r="W276" s="320"/>
      <c r="X276" s="321"/>
      <c r="Y276" s="193" t="s">
        <v>1095</v>
      </c>
    </row>
    <row r="277" spans="1:25" ht="30.6" customHeight="1" x14ac:dyDescent="0.3">
      <c r="A277" s="357">
        <v>173</v>
      </c>
      <c r="B277" s="352">
        <v>8</v>
      </c>
      <c r="C277" s="350" t="s">
        <v>834</v>
      </c>
      <c r="D277" s="185"/>
      <c r="E277" s="207"/>
      <c r="F277" s="178"/>
      <c r="G277" s="357"/>
      <c r="H277" s="230"/>
      <c r="I277" s="182"/>
      <c r="J277" s="185"/>
      <c r="K277" s="185"/>
      <c r="L277" s="230"/>
      <c r="M277" s="182"/>
      <c r="N277" s="185"/>
      <c r="O277" s="185"/>
      <c r="P277" s="186"/>
      <c r="Q277" s="353"/>
      <c r="R277" s="354"/>
      <c r="S277" s="354"/>
      <c r="T277" s="355"/>
      <c r="U277" s="322"/>
      <c r="V277" s="320"/>
      <c r="W277" s="320"/>
      <c r="X277" s="321"/>
      <c r="Y277" s="193" t="s">
        <v>1095</v>
      </c>
    </row>
    <row r="278" spans="1:25" ht="33" customHeight="1" x14ac:dyDescent="0.3">
      <c r="A278" s="367"/>
      <c r="B278" s="368" t="s">
        <v>479</v>
      </c>
      <c r="C278" s="368" t="s">
        <v>283</v>
      </c>
      <c r="D278" s="384" t="s">
        <v>580</v>
      </c>
      <c r="E278" s="385">
        <v>31532568.539999999</v>
      </c>
      <c r="F278" s="269"/>
      <c r="G278" s="383" t="s">
        <v>581</v>
      </c>
      <c r="H278" s="373"/>
      <c r="I278" s="374"/>
      <c r="J278" s="371"/>
      <c r="K278" s="371"/>
      <c r="L278" s="375"/>
      <c r="M278" s="374"/>
      <c r="N278" s="371"/>
      <c r="O278" s="371"/>
      <c r="P278" s="376"/>
      <c r="Q278" s="374"/>
      <c r="R278" s="371"/>
      <c r="S278" s="371"/>
      <c r="T278" s="376"/>
      <c r="U278" s="377"/>
      <c r="V278" s="371"/>
      <c r="W278" s="371"/>
      <c r="X278" s="375"/>
      <c r="Y278" s="371"/>
    </row>
    <row r="279" spans="1:25" ht="31.2" x14ac:dyDescent="0.3">
      <c r="A279" s="173">
        <v>174</v>
      </c>
      <c r="B279" s="173">
        <v>1</v>
      </c>
      <c r="C279" s="214" t="s">
        <v>582</v>
      </c>
      <c r="D279" s="283" t="s">
        <v>778</v>
      </c>
      <c r="E279" s="463"/>
      <c r="F279" s="348" t="s">
        <v>1090</v>
      </c>
      <c r="G279" s="180" t="s">
        <v>579</v>
      </c>
      <c r="H279" s="181"/>
      <c r="I279" s="182"/>
      <c r="J279" s="185"/>
      <c r="K279" s="185"/>
      <c r="L279" s="230"/>
      <c r="M279" s="182"/>
      <c r="N279" s="185"/>
      <c r="O279" s="185"/>
      <c r="P279" s="186"/>
      <c r="Q279" s="182"/>
      <c r="R279" s="185"/>
      <c r="S279" s="185"/>
      <c r="T279" s="186"/>
      <c r="U279" s="298"/>
      <c r="V279" s="183"/>
      <c r="W279" s="183"/>
      <c r="X279" s="209"/>
      <c r="Y279" s="268"/>
    </row>
    <row r="280" spans="1:25" ht="31.2" x14ac:dyDescent="0.3">
      <c r="A280" s="173">
        <v>175</v>
      </c>
      <c r="B280" s="173">
        <v>2</v>
      </c>
      <c r="C280" s="214" t="s">
        <v>583</v>
      </c>
      <c r="D280" s="283" t="s">
        <v>779</v>
      </c>
      <c r="E280" s="463"/>
      <c r="F280" s="348" t="s">
        <v>1090</v>
      </c>
      <c r="G280" s="180" t="s">
        <v>579</v>
      </c>
      <c r="H280" s="181"/>
      <c r="I280" s="182"/>
      <c r="J280" s="185"/>
      <c r="K280" s="185"/>
      <c r="L280" s="230"/>
      <c r="M280" s="182"/>
      <c r="N280" s="185"/>
      <c r="O280" s="185"/>
      <c r="P280" s="186"/>
      <c r="Q280" s="182"/>
      <c r="R280" s="185"/>
      <c r="S280" s="185"/>
      <c r="T280" s="186"/>
      <c r="U280" s="298"/>
      <c r="V280" s="183"/>
      <c r="W280" s="183"/>
      <c r="X280" s="209"/>
      <c r="Y280" s="268"/>
    </row>
    <row r="281" spans="1:25" ht="31.2" x14ac:dyDescent="0.3">
      <c r="A281" s="357">
        <v>176</v>
      </c>
      <c r="B281" s="173">
        <v>3</v>
      </c>
      <c r="C281" s="214" t="s">
        <v>584</v>
      </c>
      <c r="D281" s="283" t="s">
        <v>778</v>
      </c>
      <c r="E281" s="463"/>
      <c r="F281" s="348" t="s">
        <v>1090</v>
      </c>
      <c r="G281" s="180" t="s">
        <v>579</v>
      </c>
      <c r="H281" s="181"/>
      <c r="I281" s="182"/>
      <c r="J281" s="185"/>
      <c r="K281" s="185"/>
      <c r="L281" s="230"/>
      <c r="M281" s="182"/>
      <c r="N281" s="185"/>
      <c r="O281" s="185"/>
      <c r="P281" s="186"/>
      <c r="Q281" s="182"/>
      <c r="R281" s="185"/>
      <c r="S281" s="185"/>
      <c r="T281" s="186"/>
      <c r="U281" s="298"/>
      <c r="V281" s="354"/>
      <c r="W281" s="354"/>
      <c r="X281" s="209"/>
      <c r="Y281" s="268"/>
    </row>
    <row r="282" spans="1:25" ht="31.2" x14ac:dyDescent="0.3">
      <c r="A282" s="357">
        <v>177</v>
      </c>
      <c r="B282" s="173">
        <v>4</v>
      </c>
      <c r="C282" s="214" t="s">
        <v>585</v>
      </c>
      <c r="D282" s="283" t="s">
        <v>779</v>
      </c>
      <c r="E282" s="463"/>
      <c r="F282" s="348" t="s">
        <v>1090</v>
      </c>
      <c r="G282" s="180" t="s">
        <v>579</v>
      </c>
      <c r="H282" s="181"/>
      <c r="I282" s="182"/>
      <c r="J282" s="185"/>
      <c r="K282" s="185"/>
      <c r="L282" s="230"/>
      <c r="M282" s="182"/>
      <c r="N282" s="185"/>
      <c r="O282" s="185"/>
      <c r="P282" s="186"/>
      <c r="Q282" s="182"/>
      <c r="R282" s="185"/>
      <c r="S282" s="185"/>
      <c r="T282" s="186"/>
      <c r="U282" s="298"/>
      <c r="V282" s="183"/>
      <c r="W282" s="183"/>
      <c r="X282" s="209"/>
      <c r="Y282" s="268"/>
    </row>
    <row r="283" spans="1:25" ht="31.2" x14ac:dyDescent="0.3">
      <c r="A283" s="357">
        <v>178</v>
      </c>
      <c r="B283" s="173">
        <v>5</v>
      </c>
      <c r="C283" s="214" t="s">
        <v>586</v>
      </c>
      <c r="D283" s="283" t="s">
        <v>779</v>
      </c>
      <c r="E283" s="463"/>
      <c r="F283" s="348" t="s">
        <v>1090</v>
      </c>
      <c r="G283" s="180" t="s">
        <v>579</v>
      </c>
      <c r="H283" s="181"/>
      <c r="I283" s="182"/>
      <c r="J283" s="185"/>
      <c r="K283" s="185"/>
      <c r="L283" s="230"/>
      <c r="M283" s="182"/>
      <c r="N283" s="185"/>
      <c r="O283" s="185"/>
      <c r="P283" s="186"/>
      <c r="Q283" s="182"/>
      <c r="R283" s="185"/>
      <c r="S283" s="185"/>
      <c r="T283" s="186"/>
      <c r="U283" s="298"/>
      <c r="V283" s="183"/>
      <c r="W283" s="183"/>
      <c r="X283" s="209"/>
      <c r="Y283" s="268"/>
    </row>
    <row r="284" spans="1:25" ht="31.2" x14ac:dyDescent="0.3">
      <c r="A284" s="357">
        <v>179</v>
      </c>
      <c r="B284" s="173">
        <v>7</v>
      </c>
      <c r="C284" s="214" t="s">
        <v>587</v>
      </c>
      <c r="D284" s="283" t="s">
        <v>779</v>
      </c>
      <c r="E284" s="463"/>
      <c r="F284" s="348" t="s">
        <v>1090</v>
      </c>
      <c r="G284" s="180" t="s">
        <v>579</v>
      </c>
      <c r="H284" s="181"/>
      <c r="I284" s="182"/>
      <c r="J284" s="185"/>
      <c r="K284" s="185"/>
      <c r="L284" s="230"/>
      <c r="M284" s="182"/>
      <c r="N284" s="185"/>
      <c r="O284" s="185"/>
      <c r="P284" s="186"/>
      <c r="Q284" s="182"/>
      <c r="R284" s="185"/>
      <c r="S284" s="185"/>
      <c r="T284" s="186"/>
      <c r="U284" s="298"/>
      <c r="V284" s="354"/>
      <c r="W284" s="354"/>
      <c r="X284" s="209"/>
      <c r="Y284" s="268"/>
    </row>
    <row r="285" spans="1:25" ht="31.2" x14ac:dyDescent="0.3">
      <c r="A285" s="357">
        <v>180</v>
      </c>
      <c r="B285" s="173">
        <v>6</v>
      </c>
      <c r="C285" s="214" t="s">
        <v>588</v>
      </c>
      <c r="D285" s="283" t="s">
        <v>779</v>
      </c>
      <c r="E285" s="463"/>
      <c r="F285" s="348" t="s">
        <v>1090</v>
      </c>
      <c r="G285" s="180" t="s">
        <v>579</v>
      </c>
      <c r="H285" s="181"/>
      <c r="I285" s="182"/>
      <c r="J285" s="185"/>
      <c r="K285" s="185"/>
      <c r="L285" s="230"/>
      <c r="M285" s="182"/>
      <c r="N285" s="185"/>
      <c r="O285" s="185"/>
      <c r="P285" s="186"/>
      <c r="Q285" s="182"/>
      <c r="R285" s="185"/>
      <c r="S285" s="185"/>
      <c r="T285" s="186"/>
      <c r="U285" s="298"/>
      <c r="V285" s="354"/>
      <c r="W285" s="354"/>
      <c r="X285" s="209"/>
      <c r="Y285" s="268"/>
    </row>
    <row r="286" spans="1:25" ht="31.2" x14ac:dyDescent="0.3">
      <c r="A286" s="357">
        <v>181</v>
      </c>
      <c r="B286" s="173">
        <v>8</v>
      </c>
      <c r="C286" s="214" t="s">
        <v>589</v>
      </c>
      <c r="D286" s="283" t="s">
        <v>778</v>
      </c>
      <c r="E286" s="463"/>
      <c r="F286" s="348" t="s">
        <v>1090</v>
      </c>
      <c r="G286" s="180" t="s">
        <v>579</v>
      </c>
      <c r="H286" s="181"/>
      <c r="I286" s="182"/>
      <c r="J286" s="185"/>
      <c r="K286" s="185"/>
      <c r="L286" s="230"/>
      <c r="M286" s="182"/>
      <c r="N286" s="185"/>
      <c r="O286" s="185"/>
      <c r="P286" s="186"/>
      <c r="Q286" s="182"/>
      <c r="R286" s="185"/>
      <c r="S286" s="185"/>
      <c r="T286" s="186"/>
      <c r="U286" s="298"/>
      <c r="V286" s="354"/>
      <c r="W286" s="354"/>
      <c r="X286" s="209"/>
      <c r="Y286" s="268"/>
    </row>
    <row r="287" spans="1:25" ht="31.2" x14ac:dyDescent="0.3">
      <c r="A287" s="357">
        <v>182</v>
      </c>
      <c r="B287" s="173">
        <v>9</v>
      </c>
      <c r="C287" s="214" t="s">
        <v>590</v>
      </c>
      <c r="D287" s="283" t="s">
        <v>778</v>
      </c>
      <c r="E287" s="463"/>
      <c r="F287" s="348" t="s">
        <v>1090</v>
      </c>
      <c r="G287" s="180" t="s">
        <v>579</v>
      </c>
      <c r="H287" s="181"/>
      <c r="I287" s="182"/>
      <c r="J287" s="185"/>
      <c r="K287" s="185"/>
      <c r="L287" s="230"/>
      <c r="M287" s="182"/>
      <c r="N287" s="185"/>
      <c r="O287" s="185"/>
      <c r="P287" s="186"/>
      <c r="Q287" s="182"/>
      <c r="R287" s="185"/>
      <c r="S287" s="185"/>
      <c r="T287" s="186"/>
      <c r="U287" s="298"/>
      <c r="V287" s="183"/>
      <c r="W287" s="183"/>
      <c r="X287" s="209"/>
      <c r="Y287" s="268"/>
    </row>
    <row r="288" spans="1:25" ht="31.2" x14ac:dyDescent="0.3">
      <c r="A288" s="357">
        <v>183</v>
      </c>
      <c r="B288" s="173">
        <v>10</v>
      </c>
      <c r="C288" s="214" t="s">
        <v>591</v>
      </c>
      <c r="D288" s="283" t="s">
        <v>778</v>
      </c>
      <c r="E288" s="463"/>
      <c r="F288" s="348" t="s">
        <v>1090</v>
      </c>
      <c r="G288" s="180" t="s">
        <v>579</v>
      </c>
      <c r="H288" s="181"/>
      <c r="I288" s="182"/>
      <c r="J288" s="185"/>
      <c r="K288" s="185"/>
      <c r="L288" s="230"/>
      <c r="M288" s="182"/>
      <c r="N288" s="185"/>
      <c r="O288" s="185"/>
      <c r="P288" s="186"/>
      <c r="Q288" s="182"/>
      <c r="R288" s="185"/>
      <c r="S288" s="185"/>
      <c r="T288" s="186"/>
      <c r="U288" s="298"/>
      <c r="V288" s="183"/>
      <c r="W288" s="183"/>
      <c r="X288" s="209"/>
      <c r="Y288" s="268"/>
    </row>
    <row r="289" spans="1:25" ht="31.2" x14ac:dyDescent="0.3">
      <c r="A289" s="357">
        <v>184</v>
      </c>
      <c r="B289" s="173">
        <v>11</v>
      </c>
      <c r="C289" s="214" t="s">
        <v>592</v>
      </c>
      <c r="D289" s="283" t="s">
        <v>778</v>
      </c>
      <c r="E289" s="463"/>
      <c r="F289" s="348" t="s">
        <v>1090</v>
      </c>
      <c r="G289" s="180" t="s">
        <v>579</v>
      </c>
      <c r="H289" s="181"/>
      <c r="I289" s="182"/>
      <c r="J289" s="185"/>
      <c r="K289" s="185"/>
      <c r="L289" s="230"/>
      <c r="M289" s="182"/>
      <c r="N289" s="185"/>
      <c r="O289" s="185"/>
      <c r="P289" s="186"/>
      <c r="Q289" s="182"/>
      <c r="R289" s="185"/>
      <c r="S289" s="185"/>
      <c r="T289" s="186"/>
      <c r="U289" s="298"/>
      <c r="V289" s="183"/>
      <c r="W289" s="183"/>
      <c r="X289" s="209"/>
      <c r="Y289" s="268"/>
    </row>
    <row r="290" spans="1:25" ht="31.2" x14ac:dyDescent="0.3">
      <c r="A290" s="357">
        <v>185</v>
      </c>
      <c r="B290" s="173">
        <v>12</v>
      </c>
      <c r="C290" s="214" t="s">
        <v>593</v>
      </c>
      <c r="D290" s="283" t="s">
        <v>779</v>
      </c>
      <c r="E290" s="463"/>
      <c r="F290" s="348" t="s">
        <v>1090</v>
      </c>
      <c r="G290" s="180" t="s">
        <v>579</v>
      </c>
      <c r="H290" s="181"/>
      <c r="I290" s="182"/>
      <c r="J290" s="185"/>
      <c r="K290" s="185"/>
      <c r="L290" s="230"/>
      <c r="M290" s="182"/>
      <c r="N290" s="185"/>
      <c r="O290" s="185"/>
      <c r="P290" s="186"/>
      <c r="Q290" s="182"/>
      <c r="R290" s="185"/>
      <c r="S290" s="185"/>
      <c r="T290" s="186"/>
      <c r="U290" s="298"/>
      <c r="V290" s="183"/>
      <c r="W290" s="183"/>
      <c r="X290" s="209"/>
      <c r="Y290" s="268"/>
    </row>
    <row r="291" spans="1:25" ht="31.2" x14ac:dyDescent="0.3">
      <c r="A291" s="357">
        <v>186</v>
      </c>
      <c r="B291" s="173">
        <v>13</v>
      </c>
      <c r="C291" s="214" t="s">
        <v>594</v>
      </c>
      <c r="D291" s="283" t="s">
        <v>778</v>
      </c>
      <c r="E291" s="463"/>
      <c r="F291" s="348" t="s">
        <v>1090</v>
      </c>
      <c r="G291" s="180" t="s">
        <v>579</v>
      </c>
      <c r="H291" s="181"/>
      <c r="I291" s="182"/>
      <c r="J291" s="185"/>
      <c r="K291" s="185"/>
      <c r="L291" s="230"/>
      <c r="M291" s="182"/>
      <c r="N291" s="185"/>
      <c r="O291" s="185"/>
      <c r="P291" s="186"/>
      <c r="Q291" s="182"/>
      <c r="R291" s="185"/>
      <c r="S291" s="185"/>
      <c r="T291" s="186"/>
      <c r="U291" s="298"/>
      <c r="V291" s="183"/>
      <c r="W291" s="183"/>
      <c r="X291" s="209"/>
      <c r="Y291" s="268"/>
    </row>
    <row r="292" spans="1:25" ht="31.2" x14ac:dyDescent="0.3">
      <c r="A292" s="357">
        <v>187</v>
      </c>
      <c r="B292" s="173">
        <v>14</v>
      </c>
      <c r="C292" s="214" t="s">
        <v>595</v>
      </c>
      <c r="D292" s="283" t="s">
        <v>778</v>
      </c>
      <c r="E292" s="463"/>
      <c r="F292" s="348" t="s">
        <v>1090</v>
      </c>
      <c r="G292" s="180" t="s">
        <v>579</v>
      </c>
      <c r="H292" s="181"/>
      <c r="I292" s="182"/>
      <c r="J292" s="185"/>
      <c r="K292" s="185"/>
      <c r="L292" s="230"/>
      <c r="M292" s="182"/>
      <c r="N292" s="185"/>
      <c r="O292" s="185"/>
      <c r="P292" s="186"/>
      <c r="Q292" s="182"/>
      <c r="R292" s="185"/>
      <c r="S292" s="185"/>
      <c r="T292" s="186"/>
      <c r="U292" s="298"/>
      <c r="V292" s="354"/>
      <c r="W292" s="354"/>
      <c r="X292" s="209"/>
      <c r="Y292" s="268"/>
    </row>
    <row r="293" spans="1:25" ht="31.2" x14ac:dyDescent="0.3">
      <c r="A293" s="357">
        <v>188</v>
      </c>
      <c r="B293" s="173">
        <v>15</v>
      </c>
      <c r="C293" s="214" t="s">
        <v>596</v>
      </c>
      <c r="D293" s="283" t="s">
        <v>779</v>
      </c>
      <c r="E293" s="463"/>
      <c r="F293" s="348" t="s">
        <v>1090</v>
      </c>
      <c r="G293" s="180" t="s">
        <v>579</v>
      </c>
      <c r="H293" s="181"/>
      <c r="I293" s="182"/>
      <c r="J293" s="185"/>
      <c r="K293" s="185"/>
      <c r="L293" s="230"/>
      <c r="M293" s="182"/>
      <c r="N293" s="185"/>
      <c r="O293" s="185"/>
      <c r="P293" s="186"/>
      <c r="Q293" s="182"/>
      <c r="R293" s="185"/>
      <c r="S293" s="185"/>
      <c r="T293" s="186"/>
      <c r="U293" s="298"/>
      <c r="V293" s="354"/>
      <c r="W293" s="354"/>
      <c r="X293" s="209"/>
      <c r="Y293" s="268"/>
    </row>
    <row r="294" spans="1:25" ht="31.2" x14ac:dyDescent="0.3">
      <c r="A294" s="357">
        <v>189</v>
      </c>
      <c r="B294" s="173">
        <v>16</v>
      </c>
      <c r="C294" s="214" t="s">
        <v>597</v>
      </c>
      <c r="D294" s="283" t="s">
        <v>778</v>
      </c>
      <c r="E294" s="463"/>
      <c r="F294" s="348" t="s">
        <v>1090</v>
      </c>
      <c r="G294" s="180" t="s">
        <v>579</v>
      </c>
      <c r="H294" s="181"/>
      <c r="I294" s="182"/>
      <c r="J294" s="185"/>
      <c r="K294" s="185"/>
      <c r="L294" s="230"/>
      <c r="M294" s="182"/>
      <c r="N294" s="185"/>
      <c r="O294" s="185"/>
      <c r="P294" s="186"/>
      <c r="Q294" s="182"/>
      <c r="R294" s="185"/>
      <c r="S294" s="185"/>
      <c r="T294" s="186"/>
      <c r="U294" s="298"/>
      <c r="V294" s="354"/>
      <c r="W294" s="354"/>
      <c r="X294" s="209"/>
      <c r="Y294" s="268"/>
    </row>
    <row r="295" spans="1:25" ht="31.2" x14ac:dyDescent="0.3">
      <c r="A295" s="357">
        <v>190</v>
      </c>
      <c r="B295" s="173">
        <v>17</v>
      </c>
      <c r="C295" s="214" t="s">
        <v>598</v>
      </c>
      <c r="D295" s="283" t="s">
        <v>779</v>
      </c>
      <c r="E295" s="463"/>
      <c r="F295" s="348" t="s">
        <v>1090</v>
      </c>
      <c r="G295" s="180" t="s">
        <v>579</v>
      </c>
      <c r="H295" s="181"/>
      <c r="I295" s="182"/>
      <c r="J295" s="185"/>
      <c r="K295" s="185"/>
      <c r="L295" s="230"/>
      <c r="M295" s="182"/>
      <c r="N295" s="185"/>
      <c r="O295" s="185"/>
      <c r="P295" s="186"/>
      <c r="Q295" s="182"/>
      <c r="R295" s="185"/>
      <c r="S295" s="185"/>
      <c r="T295" s="186"/>
      <c r="U295" s="298"/>
      <c r="V295" s="354"/>
      <c r="W295" s="354"/>
      <c r="X295" s="209"/>
      <c r="Y295" s="268"/>
    </row>
    <row r="296" spans="1:25" ht="39" customHeight="1" x14ac:dyDescent="0.3">
      <c r="A296" s="367"/>
      <c r="B296" s="368" t="s">
        <v>479</v>
      </c>
      <c r="C296" s="368" t="s">
        <v>283</v>
      </c>
      <c r="D296" s="369" t="s">
        <v>599</v>
      </c>
      <c r="E296" s="385">
        <v>4331327.54</v>
      </c>
      <c r="F296" s="269"/>
      <c r="G296" s="383" t="s">
        <v>600</v>
      </c>
      <c r="H296" s="373"/>
      <c r="I296" s="374"/>
      <c r="J296" s="371"/>
      <c r="K296" s="371"/>
      <c r="L296" s="375"/>
      <c r="M296" s="374"/>
      <c r="N296" s="371"/>
      <c r="O296" s="371"/>
      <c r="P296" s="376"/>
      <c r="Q296" s="374"/>
      <c r="R296" s="371"/>
      <c r="S296" s="371"/>
      <c r="T296" s="376"/>
      <c r="U296" s="377"/>
      <c r="V296" s="371"/>
      <c r="W296" s="371"/>
      <c r="X296" s="375"/>
      <c r="Y296" s="270"/>
    </row>
    <row r="297" spans="1:25" ht="58.5" customHeight="1" x14ac:dyDescent="0.3">
      <c r="A297" s="173">
        <v>191</v>
      </c>
      <c r="B297" s="173">
        <v>1</v>
      </c>
      <c r="C297" s="213" t="s">
        <v>601</v>
      </c>
      <c r="D297" s="283" t="s">
        <v>774</v>
      </c>
      <c r="E297" s="207"/>
      <c r="F297" s="179" t="s">
        <v>764</v>
      </c>
      <c r="G297" s="180" t="s">
        <v>579</v>
      </c>
      <c r="H297" s="181"/>
      <c r="I297" s="182"/>
      <c r="J297" s="185"/>
      <c r="K297" s="185"/>
      <c r="L297" s="230"/>
      <c r="M297" s="182"/>
      <c r="N297" s="185"/>
      <c r="O297" s="185"/>
      <c r="P297" s="186"/>
      <c r="Q297" s="182"/>
      <c r="R297" s="185"/>
      <c r="S297" s="185"/>
      <c r="T297" s="355"/>
      <c r="U297" s="360"/>
      <c r="V297" s="354"/>
      <c r="W297" s="185"/>
      <c r="X297" s="209"/>
      <c r="Y297" s="185" t="s">
        <v>1092</v>
      </c>
    </row>
    <row r="298" spans="1:25" ht="31.2" x14ac:dyDescent="0.3">
      <c r="A298" s="173">
        <v>192</v>
      </c>
      <c r="B298" s="173">
        <v>2</v>
      </c>
      <c r="C298" s="213" t="s">
        <v>602</v>
      </c>
      <c r="D298" s="268" t="s">
        <v>775</v>
      </c>
      <c r="E298" s="207"/>
      <c r="F298" s="179"/>
      <c r="G298" s="180"/>
      <c r="H298" s="181"/>
      <c r="I298" s="182"/>
      <c r="J298" s="185"/>
      <c r="K298" s="185"/>
      <c r="L298" s="230"/>
      <c r="M298" s="182"/>
      <c r="N298" s="185"/>
      <c r="O298" s="185"/>
      <c r="P298" s="186"/>
      <c r="Q298" s="182"/>
      <c r="R298" s="185"/>
      <c r="S298" s="185"/>
      <c r="T298" s="355"/>
      <c r="U298" s="360"/>
      <c r="V298" s="354"/>
      <c r="W298" s="185"/>
      <c r="X298" s="209"/>
      <c r="Y298" s="185" t="s">
        <v>1092</v>
      </c>
    </row>
    <row r="299" spans="1:25" ht="31.2" x14ac:dyDescent="0.3">
      <c r="A299" s="357">
        <v>193</v>
      </c>
      <c r="B299" s="173">
        <v>3</v>
      </c>
      <c r="C299" s="213" t="s">
        <v>603</v>
      </c>
      <c r="D299" s="268" t="s">
        <v>775</v>
      </c>
      <c r="E299" s="207"/>
      <c r="F299" s="179"/>
      <c r="G299" s="180"/>
      <c r="H299" s="181"/>
      <c r="I299" s="182"/>
      <c r="J299" s="185"/>
      <c r="K299" s="185"/>
      <c r="L299" s="230"/>
      <c r="M299" s="182"/>
      <c r="N299" s="185"/>
      <c r="O299" s="185"/>
      <c r="P299" s="186"/>
      <c r="Q299" s="182"/>
      <c r="R299" s="185"/>
      <c r="S299" s="185"/>
      <c r="T299" s="355"/>
      <c r="U299" s="360"/>
      <c r="V299" s="354"/>
      <c r="W299" s="185"/>
      <c r="X299" s="209"/>
      <c r="Y299" s="185" t="s">
        <v>1092</v>
      </c>
    </row>
    <row r="300" spans="1:25" ht="31.2" x14ac:dyDescent="0.3">
      <c r="A300" s="357">
        <v>194</v>
      </c>
      <c r="B300" s="173">
        <v>4</v>
      </c>
      <c r="C300" s="213" t="s">
        <v>604</v>
      </c>
      <c r="D300" s="283" t="s">
        <v>774</v>
      </c>
      <c r="E300" s="207"/>
      <c r="F300" s="179" t="s">
        <v>764</v>
      </c>
      <c r="G300" s="180" t="s">
        <v>579</v>
      </c>
      <c r="H300" s="181"/>
      <c r="I300" s="182"/>
      <c r="J300" s="185"/>
      <c r="K300" s="185"/>
      <c r="L300" s="230"/>
      <c r="M300" s="182"/>
      <c r="N300" s="185"/>
      <c r="O300" s="185"/>
      <c r="P300" s="186"/>
      <c r="Q300" s="182"/>
      <c r="R300" s="185"/>
      <c r="S300" s="185"/>
      <c r="T300" s="355"/>
      <c r="U300" s="360"/>
      <c r="V300" s="354"/>
      <c r="W300" s="185"/>
      <c r="X300" s="209"/>
      <c r="Y300" s="185" t="s">
        <v>1092</v>
      </c>
    </row>
    <row r="301" spans="1:25" ht="31.2" x14ac:dyDescent="0.3">
      <c r="A301" s="357">
        <v>195</v>
      </c>
      <c r="B301" s="173">
        <v>5</v>
      </c>
      <c r="C301" s="213" t="s">
        <v>605</v>
      </c>
      <c r="D301" s="283" t="s">
        <v>774</v>
      </c>
      <c r="E301" s="207"/>
      <c r="F301" s="179" t="s">
        <v>764</v>
      </c>
      <c r="G301" s="180" t="s">
        <v>579</v>
      </c>
      <c r="H301" s="181"/>
      <c r="I301" s="182"/>
      <c r="J301" s="185"/>
      <c r="K301" s="185"/>
      <c r="L301" s="230"/>
      <c r="M301" s="182"/>
      <c r="N301" s="185"/>
      <c r="O301" s="185"/>
      <c r="P301" s="186"/>
      <c r="Q301" s="182"/>
      <c r="R301" s="185"/>
      <c r="S301" s="185"/>
      <c r="T301" s="355"/>
      <c r="U301" s="360"/>
      <c r="V301" s="354"/>
      <c r="W301" s="185"/>
      <c r="X301" s="209"/>
      <c r="Y301" s="185" t="s">
        <v>1092</v>
      </c>
    </row>
    <row r="302" spans="1:25" ht="31.2" x14ac:dyDescent="0.3">
      <c r="A302" s="357">
        <v>196</v>
      </c>
      <c r="B302" s="173">
        <v>6</v>
      </c>
      <c r="C302" s="213" t="s">
        <v>606</v>
      </c>
      <c r="D302" s="283" t="s">
        <v>776</v>
      </c>
      <c r="E302" s="207"/>
      <c r="F302" s="179" t="s">
        <v>764</v>
      </c>
      <c r="G302" s="180" t="s">
        <v>579</v>
      </c>
      <c r="H302" s="181"/>
      <c r="I302" s="182"/>
      <c r="J302" s="185"/>
      <c r="K302" s="185"/>
      <c r="L302" s="230"/>
      <c r="M302" s="182"/>
      <c r="N302" s="185"/>
      <c r="O302" s="185"/>
      <c r="P302" s="186"/>
      <c r="Q302" s="182"/>
      <c r="R302" s="185"/>
      <c r="S302" s="185"/>
      <c r="T302" s="355"/>
      <c r="U302" s="360"/>
      <c r="V302" s="354"/>
      <c r="W302" s="185"/>
      <c r="X302" s="209"/>
      <c r="Y302" s="185" t="s">
        <v>1092</v>
      </c>
    </row>
    <row r="303" spans="1:25" ht="31.2" x14ac:dyDescent="0.3">
      <c r="A303" s="357">
        <v>197</v>
      </c>
      <c r="B303" s="173">
        <v>7</v>
      </c>
      <c r="C303" s="213" t="s">
        <v>607</v>
      </c>
      <c r="D303" s="283" t="s">
        <v>774</v>
      </c>
      <c r="E303" s="207"/>
      <c r="F303" s="179" t="s">
        <v>764</v>
      </c>
      <c r="G303" s="180" t="s">
        <v>579</v>
      </c>
      <c r="H303" s="181"/>
      <c r="I303" s="182"/>
      <c r="J303" s="185"/>
      <c r="K303" s="185"/>
      <c r="L303" s="230"/>
      <c r="M303" s="182"/>
      <c r="N303" s="185"/>
      <c r="O303" s="185"/>
      <c r="P303" s="186"/>
      <c r="Q303" s="182"/>
      <c r="R303" s="185"/>
      <c r="S303" s="185"/>
      <c r="T303" s="355"/>
      <c r="U303" s="360"/>
      <c r="V303" s="354"/>
      <c r="W303" s="185"/>
      <c r="X303" s="209"/>
      <c r="Y303" s="185" t="s">
        <v>1092</v>
      </c>
    </row>
    <row r="304" spans="1:25" ht="31.2" x14ac:dyDescent="0.3">
      <c r="A304" s="357">
        <v>198</v>
      </c>
      <c r="B304" s="173">
        <v>8</v>
      </c>
      <c r="C304" s="213" t="s">
        <v>608</v>
      </c>
      <c r="D304" s="283" t="s">
        <v>774</v>
      </c>
      <c r="E304" s="207"/>
      <c r="F304" s="179" t="s">
        <v>764</v>
      </c>
      <c r="G304" s="180" t="s">
        <v>579</v>
      </c>
      <c r="H304" s="181"/>
      <c r="I304" s="182"/>
      <c r="J304" s="185"/>
      <c r="K304" s="185"/>
      <c r="L304" s="230"/>
      <c r="M304" s="182"/>
      <c r="N304" s="185"/>
      <c r="O304" s="185"/>
      <c r="P304" s="186"/>
      <c r="Q304" s="182"/>
      <c r="R304" s="185"/>
      <c r="S304" s="185"/>
      <c r="T304" s="355"/>
      <c r="U304" s="360"/>
      <c r="V304" s="354"/>
      <c r="W304" s="185"/>
      <c r="X304" s="209"/>
      <c r="Y304" s="185" t="s">
        <v>1092</v>
      </c>
    </row>
    <row r="305" spans="1:25" ht="31.2" x14ac:dyDescent="0.3">
      <c r="A305" s="357">
        <v>199</v>
      </c>
      <c r="B305" s="173">
        <v>9</v>
      </c>
      <c r="C305" s="213" t="s">
        <v>609</v>
      </c>
      <c r="D305" s="283" t="s">
        <v>774</v>
      </c>
      <c r="E305" s="207"/>
      <c r="F305" s="179" t="s">
        <v>764</v>
      </c>
      <c r="G305" s="180" t="s">
        <v>579</v>
      </c>
      <c r="H305" s="181"/>
      <c r="I305" s="182"/>
      <c r="J305" s="185"/>
      <c r="K305" s="185"/>
      <c r="L305" s="230"/>
      <c r="M305" s="182"/>
      <c r="N305" s="185"/>
      <c r="O305" s="185"/>
      <c r="P305" s="186"/>
      <c r="Q305" s="182"/>
      <c r="R305" s="185"/>
      <c r="S305" s="185"/>
      <c r="T305" s="355"/>
      <c r="U305" s="360"/>
      <c r="V305" s="354"/>
      <c r="W305" s="185"/>
      <c r="X305" s="209"/>
      <c r="Y305" s="185" t="s">
        <v>1092</v>
      </c>
    </row>
    <row r="306" spans="1:25" ht="31.2" x14ac:dyDescent="0.3">
      <c r="A306" s="357">
        <v>200</v>
      </c>
      <c r="B306" s="173">
        <v>10</v>
      </c>
      <c r="C306" s="213" t="s">
        <v>610</v>
      </c>
      <c r="D306" s="283" t="s">
        <v>774</v>
      </c>
      <c r="E306" s="207"/>
      <c r="F306" s="179" t="s">
        <v>764</v>
      </c>
      <c r="G306" s="180" t="s">
        <v>579</v>
      </c>
      <c r="H306" s="181"/>
      <c r="I306" s="182"/>
      <c r="J306" s="185"/>
      <c r="K306" s="185"/>
      <c r="L306" s="230"/>
      <c r="M306" s="182"/>
      <c r="N306" s="185"/>
      <c r="O306" s="185"/>
      <c r="P306" s="186"/>
      <c r="Q306" s="182"/>
      <c r="R306" s="185"/>
      <c r="S306" s="185"/>
      <c r="T306" s="355"/>
      <c r="U306" s="360"/>
      <c r="V306" s="354"/>
      <c r="W306" s="185"/>
      <c r="X306" s="209"/>
      <c r="Y306" s="185" t="s">
        <v>1092</v>
      </c>
    </row>
    <row r="307" spans="1:25" ht="31.2" x14ac:dyDescent="0.3">
      <c r="A307" s="357">
        <v>201</v>
      </c>
      <c r="B307" s="173">
        <v>11</v>
      </c>
      <c r="C307" s="213" t="s">
        <v>611</v>
      </c>
      <c r="D307" s="283" t="s">
        <v>774</v>
      </c>
      <c r="E307" s="207"/>
      <c r="F307" s="179" t="s">
        <v>764</v>
      </c>
      <c r="G307" s="180" t="s">
        <v>579</v>
      </c>
      <c r="H307" s="181"/>
      <c r="I307" s="182"/>
      <c r="J307" s="185"/>
      <c r="K307" s="185"/>
      <c r="L307" s="230"/>
      <c r="M307" s="182"/>
      <c r="N307" s="185"/>
      <c r="O307" s="185"/>
      <c r="P307" s="186"/>
      <c r="Q307" s="182"/>
      <c r="R307" s="185"/>
      <c r="S307" s="185"/>
      <c r="T307" s="355"/>
      <c r="U307" s="360"/>
      <c r="V307" s="354"/>
      <c r="W307" s="185"/>
      <c r="X307" s="209"/>
      <c r="Y307" s="185" t="s">
        <v>1092</v>
      </c>
    </row>
    <row r="308" spans="1:25" ht="31.2" x14ac:dyDescent="0.3">
      <c r="A308" s="357">
        <v>202</v>
      </c>
      <c r="B308" s="173">
        <v>12</v>
      </c>
      <c r="C308" s="213" t="s">
        <v>612</v>
      </c>
      <c r="D308" s="283" t="s">
        <v>774</v>
      </c>
      <c r="E308" s="207"/>
      <c r="F308" s="179" t="s">
        <v>764</v>
      </c>
      <c r="G308" s="180" t="s">
        <v>579</v>
      </c>
      <c r="H308" s="181"/>
      <c r="I308" s="182"/>
      <c r="J308" s="185"/>
      <c r="K308" s="185"/>
      <c r="L308" s="230"/>
      <c r="M308" s="182"/>
      <c r="N308" s="185"/>
      <c r="O308" s="185"/>
      <c r="P308" s="186"/>
      <c r="Q308" s="182"/>
      <c r="R308" s="185"/>
      <c r="S308" s="185"/>
      <c r="T308" s="355"/>
      <c r="U308" s="360"/>
      <c r="V308" s="354"/>
      <c r="W308" s="185"/>
      <c r="X308" s="209"/>
      <c r="Y308" s="185" t="s">
        <v>1092</v>
      </c>
    </row>
    <row r="309" spans="1:25" ht="31.2" x14ac:dyDescent="0.3">
      <c r="A309" s="357">
        <v>203</v>
      </c>
      <c r="B309" s="173">
        <v>13</v>
      </c>
      <c r="C309" s="213" t="s">
        <v>45</v>
      </c>
      <c r="D309" s="283" t="s">
        <v>774</v>
      </c>
      <c r="E309" s="207"/>
      <c r="F309" s="179" t="s">
        <v>764</v>
      </c>
      <c r="G309" s="180" t="s">
        <v>579</v>
      </c>
      <c r="H309" s="181"/>
      <c r="I309" s="182"/>
      <c r="J309" s="185"/>
      <c r="K309" s="185"/>
      <c r="L309" s="230"/>
      <c r="M309" s="182"/>
      <c r="N309" s="185"/>
      <c r="O309" s="185"/>
      <c r="P309" s="186"/>
      <c r="Q309" s="182"/>
      <c r="R309" s="185"/>
      <c r="S309" s="185"/>
      <c r="T309" s="355"/>
      <c r="U309" s="360"/>
      <c r="V309" s="354"/>
      <c r="W309" s="185"/>
      <c r="X309" s="209"/>
      <c r="Y309" s="185" t="s">
        <v>1092</v>
      </c>
    </row>
    <row r="310" spans="1:25" ht="31.2" x14ac:dyDescent="0.3">
      <c r="A310" s="357">
        <v>204</v>
      </c>
      <c r="B310" s="173">
        <v>14</v>
      </c>
      <c r="C310" s="213" t="s">
        <v>47</v>
      </c>
      <c r="D310" s="283" t="s">
        <v>774</v>
      </c>
      <c r="E310" s="207"/>
      <c r="F310" s="179" t="s">
        <v>764</v>
      </c>
      <c r="G310" s="180" t="s">
        <v>579</v>
      </c>
      <c r="H310" s="181"/>
      <c r="I310" s="182"/>
      <c r="J310" s="185"/>
      <c r="K310" s="185"/>
      <c r="L310" s="230"/>
      <c r="M310" s="182"/>
      <c r="N310" s="185"/>
      <c r="O310" s="185"/>
      <c r="P310" s="186"/>
      <c r="Q310" s="182"/>
      <c r="R310" s="185"/>
      <c r="S310" s="185"/>
      <c r="T310" s="355"/>
      <c r="U310" s="360"/>
      <c r="V310" s="354"/>
      <c r="W310" s="185"/>
      <c r="X310" s="209"/>
      <c r="Y310" s="185" t="s">
        <v>1092</v>
      </c>
    </row>
    <row r="311" spans="1:25" ht="31.2" x14ac:dyDescent="0.3">
      <c r="A311" s="357">
        <v>205</v>
      </c>
      <c r="B311" s="173">
        <v>15</v>
      </c>
      <c r="C311" s="213" t="s">
        <v>76</v>
      </c>
      <c r="D311" s="283" t="s">
        <v>776</v>
      </c>
      <c r="E311" s="207"/>
      <c r="F311" s="179" t="s">
        <v>764</v>
      </c>
      <c r="G311" s="180" t="s">
        <v>579</v>
      </c>
      <c r="H311" s="181"/>
      <c r="I311" s="182"/>
      <c r="J311" s="185"/>
      <c r="K311" s="185"/>
      <c r="L311" s="230"/>
      <c r="M311" s="182"/>
      <c r="N311" s="185"/>
      <c r="O311" s="185"/>
      <c r="P311" s="186"/>
      <c r="Q311" s="182"/>
      <c r="R311" s="185"/>
      <c r="S311" s="185"/>
      <c r="T311" s="355"/>
      <c r="U311" s="360"/>
      <c r="V311" s="354"/>
      <c r="W311" s="185"/>
      <c r="X311" s="209"/>
      <c r="Y311" s="185" t="s">
        <v>1092</v>
      </c>
    </row>
    <row r="312" spans="1:25" ht="31.2" x14ac:dyDescent="0.3">
      <c r="A312" s="357">
        <v>206</v>
      </c>
      <c r="B312" s="173">
        <v>16</v>
      </c>
      <c r="C312" s="213" t="s">
        <v>69</v>
      </c>
      <c r="D312" s="268" t="s">
        <v>777</v>
      </c>
      <c r="E312" s="207"/>
      <c r="F312" s="179"/>
      <c r="G312" s="180"/>
      <c r="H312" s="181"/>
      <c r="I312" s="182"/>
      <c r="J312" s="185"/>
      <c r="K312" s="185"/>
      <c r="L312" s="230"/>
      <c r="M312" s="182"/>
      <c r="N312" s="185"/>
      <c r="O312" s="185"/>
      <c r="P312" s="186"/>
      <c r="Q312" s="182"/>
      <c r="R312" s="185"/>
      <c r="S312" s="185"/>
      <c r="T312" s="355"/>
      <c r="U312" s="360"/>
      <c r="V312" s="354"/>
      <c r="W312" s="185"/>
      <c r="X312" s="209"/>
      <c r="Y312" s="185" t="s">
        <v>1092</v>
      </c>
    </row>
    <row r="313" spans="1:25" ht="31.2" x14ac:dyDescent="0.3">
      <c r="A313" s="357">
        <v>207</v>
      </c>
      <c r="B313" s="173">
        <v>17</v>
      </c>
      <c r="C313" s="213" t="s">
        <v>772</v>
      </c>
      <c r="D313" s="232" t="s">
        <v>773</v>
      </c>
      <c r="E313" s="207"/>
      <c r="F313" s="232" t="s">
        <v>1091</v>
      </c>
      <c r="G313" s="180" t="s">
        <v>579</v>
      </c>
      <c r="H313" s="181"/>
      <c r="I313" s="182"/>
      <c r="J313" s="185"/>
      <c r="K313" s="185"/>
      <c r="L313" s="230"/>
      <c r="M313" s="182"/>
      <c r="N313" s="185"/>
      <c r="O313" s="185"/>
      <c r="P313" s="186"/>
      <c r="Q313" s="182"/>
      <c r="R313" s="185"/>
      <c r="S313" s="185"/>
      <c r="T313" s="355"/>
      <c r="U313" s="360"/>
      <c r="V313" s="354"/>
      <c r="W313" s="185"/>
      <c r="X313" s="209"/>
      <c r="Y313" s="185" t="s">
        <v>1092</v>
      </c>
    </row>
    <row r="314" spans="1:25" ht="31.2" x14ac:dyDescent="0.3">
      <c r="A314" s="357">
        <v>208</v>
      </c>
      <c r="B314" s="173">
        <v>18</v>
      </c>
      <c r="C314" s="213" t="s">
        <v>57</v>
      </c>
      <c r="D314" s="232" t="s">
        <v>773</v>
      </c>
      <c r="E314" s="207"/>
      <c r="F314" s="232" t="s">
        <v>1091</v>
      </c>
      <c r="G314" s="180" t="s">
        <v>579</v>
      </c>
      <c r="H314" s="181"/>
      <c r="I314" s="182"/>
      <c r="J314" s="185"/>
      <c r="K314" s="185"/>
      <c r="L314" s="230"/>
      <c r="M314" s="182"/>
      <c r="N314" s="185"/>
      <c r="O314" s="185"/>
      <c r="P314" s="186"/>
      <c r="Q314" s="182"/>
      <c r="R314" s="185"/>
      <c r="S314" s="185"/>
      <c r="T314" s="355"/>
      <c r="U314" s="360"/>
      <c r="V314" s="354"/>
      <c r="W314" s="185"/>
      <c r="X314" s="209"/>
      <c r="Y314" s="185" t="s">
        <v>1092</v>
      </c>
    </row>
    <row r="315" spans="1:25" ht="31.2" x14ac:dyDescent="0.3">
      <c r="A315" s="357">
        <v>209</v>
      </c>
      <c r="B315" s="173">
        <v>19</v>
      </c>
      <c r="C315" s="213" t="s">
        <v>90</v>
      </c>
      <c r="D315" s="232" t="s">
        <v>773</v>
      </c>
      <c r="E315" s="207"/>
      <c r="F315" s="232" t="s">
        <v>1091</v>
      </c>
      <c r="G315" s="180" t="s">
        <v>579</v>
      </c>
      <c r="H315" s="181"/>
      <c r="I315" s="182"/>
      <c r="J315" s="185"/>
      <c r="K315" s="185"/>
      <c r="L315" s="230"/>
      <c r="M315" s="182"/>
      <c r="N315" s="185"/>
      <c r="O315" s="185"/>
      <c r="P315" s="186"/>
      <c r="Q315" s="182"/>
      <c r="R315" s="185"/>
      <c r="S315" s="185"/>
      <c r="T315" s="355"/>
      <c r="U315" s="360"/>
      <c r="V315" s="354"/>
      <c r="W315" s="185"/>
      <c r="X315" s="209"/>
      <c r="Y315" s="185" t="s">
        <v>1092</v>
      </c>
    </row>
    <row r="316" spans="1:25" ht="31.2" x14ac:dyDescent="0.3">
      <c r="A316" s="357">
        <v>210</v>
      </c>
      <c r="B316" s="173">
        <v>20</v>
      </c>
      <c r="C316" s="213" t="s">
        <v>92</v>
      </c>
      <c r="D316" s="232" t="s">
        <v>773</v>
      </c>
      <c r="E316" s="207"/>
      <c r="F316" s="232" t="s">
        <v>1091</v>
      </c>
      <c r="G316" s="180" t="s">
        <v>579</v>
      </c>
      <c r="H316" s="181"/>
      <c r="I316" s="182"/>
      <c r="J316" s="185"/>
      <c r="K316" s="185"/>
      <c r="L316" s="230"/>
      <c r="M316" s="182"/>
      <c r="N316" s="185"/>
      <c r="O316" s="185"/>
      <c r="P316" s="186"/>
      <c r="Q316" s="182"/>
      <c r="R316" s="185"/>
      <c r="S316" s="185"/>
      <c r="T316" s="355"/>
      <c r="U316" s="360"/>
      <c r="V316" s="354"/>
      <c r="W316" s="185"/>
      <c r="X316" s="209"/>
      <c r="Y316" s="185" t="s">
        <v>1092</v>
      </c>
    </row>
    <row r="317" spans="1:25" ht="31.2" x14ac:dyDescent="0.3">
      <c r="A317" s="357">
        <v>211</v>
      </c>
      <c r="B317" s="173">
        <v>21</v>
      </c>
      <c r="C317" s="213" t="s">
        <v>94</v>
      </c>
      <c r="D317" s="232" t="s">
        <v>773</v>
      </c>
      <c r="E317" s="207"/>
      <c r="F317" s="232" t="s">
        <v>1091</v>
      </c>
      <c r="G317" s="180" t="s">
        <v>579</v>
      </c>
      <c r="H317" s="181"/>
      <c r="I317" s="182"/>
      <c r="J317" s="185"/>
      <c r="K317" s="185"/>
      <c r="L317" s="230"/>
      <c r="M317" s="182"/>
      <c r="N317" s="185"/>
      <c r="O317" s="185"/>
      <c r="P317" s="186"/>
      <c r="Q317" s="182"/>
      <c r="R317" s="185"/>
      <c r="S317" s="185"/>
      <c r="T317" s="355"/>
      <c r="U317" s="360"/>
      <c r="V317" s="354"/>
      <c r="W317" s="185"/>
      <c r="X317" s="209"/>
      <c r="Y317" s="185" t="s">
        <v>1092</v>
      </c>
    </row>
    <row r="318" spans="1:25" ht="31.2" x14ac:dyDescent="0.3">
      <c r="A318" s="357">
        <v>212</v>
      </c>
      <c r="B318" s="173">
        <v>22</v>
      </c>
      <c r="C318" s="213" t="s">
        <v>65</v>
      </c>
      <c r="D318" s="232" t="s">
        <v>773</v>
      </c>
      <c r="E318" s="207"/>
      <c r="F318" s="232" t="s">
        <v>1091</v>
      </c>
      <c r="G318" s="180" t="s">
        <v>579</v>
      </c>
      <c r="H318" s="181"/>
      <c r="I318" s="182"/>
      <c r="J318" s="185"/>
      <c r="K318" s="185"/>
      <c r="L318" s="230"/>
      <c r="M318" s="182"/>
      <c r="N318" s="185"/>
      <c r="O318" s="185"/>
      <c r="P318" s="186"/>
      <c r="Q318" s="182"/>
      <c r="R318" s="185"/>
      <c r="S318" s="185"/>
      <c r="T318" s="355"/>
      <c r="U318" s="360"/>
      <c r="V318" s="354"/>
      <c r="W318" s="185"/>
      <c r="X318" s="209"/>
      <c r="Y318" s="185" t="s">
        <v>1092</v>
      </c>
    </row>
    <row r="319" spans="1:25" ht="31.2" x14ac:dyDescent="0.3">
      <c r="A319" s="357">
        <v>213</v>
      </c>
      <c r="B319" s="173">
        <v>23</v>
      </c>
      <c r="C319" s="213" t="s">
        <v>68</v>
      </c>
      <c r="D319" s="232" t="s">
        <v>773</v>
      </c>
      <c r="E319" s="207"/>
      <c r="F319" s="232" t="s">
        <v>1091</v>
      </c>
      <c r="G319" s="180" t="s">
        <v>579</v>
      </c>
      <c r="H319" s="181"/>
      <c r="I319" s="182"/>
      <c r="J319" s="185"/>
      <c r="K319" s="185"/>
      <c r="L319" s="230"/>
      <c r="M319" s="182"/>
      <c r="N319" s="185"/>
      <c r="O319" s="185"/>
      <c r="P319" s="186"/>
      <c r="Q319" s="182"/>
      <c r="R319" s="185"/>
      <c r="S319" s="185"/>
      <c r="T319" s="355"/>
      <c r="U319" s="360"/>
      <c r="V319" s="354"/>
      <c r="W319" s="185"/>
      <c r="X319" s="209"/>
      <c r="Y319" s="185" t="s">
        <v>1092</v>
      </c>
    </row>
    <row r="320" spans="1:25" ht="31.2" x14ac:dyDescent="0.3">
      <c r="A320" s="357">
        <v>214</v>
      </c>
      <c r="B320" s="173">
        <v>24</v>
      </c>
      <c r="C320" s="213" t="s">
        <v>73</v>
      </c>
      <c r="D320" s="232" t="s">
        <v>773</v>
      </c>
      <c r="E320" s="207"/>
      <c r="F320" s="232" t="s">
        <v>1091</v>
      </c>
      <c r="G320" s="180" t="s">
        <v>579</v>
      </c>
      <c r="H320" s="181"/>
      <c r="I320" s="182"/>
      <c r="J320" s="185"/>
      <c r="K320" s="185"/>
      <c r="L320" s="230"/>
      <c r="M320" s="182"/>
      <c r="N320" s="185"/>
      <c r="O320" s="185"/>
      <c r="P320" s="186"/>
      <c r="Q320" s="182"/>
      <c r="R320" s="185"/>
      <c r="S320" s="185"/>
      <c r="T320" s="355"/>
      <c r="U320" s="360"/>
      <c r="V320" s="354"/>
      <c r="W320" s="185"/>
      <c r="X320" s="209"/>
      <c r="Y320" s="185" t="s">
        <v>1092</v>
      </c>
    </row>
    <row r="321" spans="1:25" ht="31.2" x14ac:dyDescent="0.3">
      <c r="A321" s="357">
        <v>215</v>
      </c>
      <c r="B321" s="173">
        <v>25</v>
      </c>
      <c r="C321" s="213" t="s">
        <v>613</v>
      </c>
      <c r="D321" s="232" t="s">
        <v>773</v>
      </c>
      <c r="E321" s="207"/>
      <c r="F321" s="232" t="s">
        <v>1091</v>
      </c>
      <c r="G321" s="180" t="s">
        <v>579</v>
      </c>
      <c r="H321" s="181"/>
      <c r="I321" s="182"/>
      <c r="J321" s="185"/>
      <c r="K321" s="185"/>
      <c r="L321" s="230"/>
      <c r="M321" s="182"/>
      <c r="N321" s="185"/>
      <c r="O321" s="185"/>
      <c r="P321" s="186"/>
      <c r="Q321" s="182"/>
      <c r="R321" s="185"/>
      <c r="S321" s="185"/>
      <c r="T321" s="355"/>
      <c r="U321" s="360"/>
      <c r="V321" s="354"/>
      <c r="W321" s="185"/>
      <c r="X321" s="209"/>
      <c r="Y321" s="185" t="s">
        <v>1092</v>
      </c>
    </row>
    <row r="322" spans="1:25" ht="32.85" customHeight="1" x14ac:dyDescent="0.3">
      <c r="A322" s="367"/>
      <c r="B322" s="368" t="s">
        <v>479</v>
      </c>
      <c r="C322" s="368" t="s">
        <v>283</v>
      </c>
      <c r="D322" s="380" t="s">
        <v>614</v>
      </c>
      <c r="E322" s="370">
        <v>20361086</v>
      </c>
      <c r="F322" s="269"/>
      <c r="G322" s="372"/>
      <c r="H322" s="373"/>
      <c r="I322" s="374"/>
      <c r="J322" s="371"/>
      <c r="K322" s="371"/>
      <c r="L322" s="375"/>
      <c r="M322" s="374"/>
      <c r="N322" s="371"/>
      <c r="O322" s="371"/>
      <c r="P322" s="376"/>
      <c r="Q322" s="374"/>
      <c r="R322" s="371"/>
      <c r="S322" s="371"/>
      <c r="T322" s="376"/>
      <c r="U322" s="377"/>
      <c r="V322" s="371"/>
      <c r="W322" s="371"/>
      <c r="X322" s="375"/>
      <c r="Y322" s="371"/>
    </row>
    <row r="323" spans="1:25" ht="15" customHeight="1" x14ac:dyDescent="0.3">
      <c r="A323" s="173">
        <v>216</v>
      </c>
      <c r="B323" s="173">
        <v>1</v>
      </c>
      <c r="C323" s="203" t="s">
        <v>615</v>
      </c>
      <c r="D323" s="185"/>
      <c r="E323" s="449">
        <v>20361086</v>
      </c>
      <c r="F323" s="178">
        <v>46248</v>
      </c>
      <c r="G323" s="201"/>
      <c r="H323" s="181"/>
      <c r="I323" s="182"/>
      <c r="J323" s="185"/>
      <c r="K323" s="185"/>
      <c r="L323" s="230"/>
      <c r="M323" s="182"/>
      <c r="N323" s="185"/>
      <c r="O323" s="183"/>
      <c r="P323" s="184"/>
      <c r="Q323" s="189"/>
      <c r="R323" s="183"/>
      <c r="S323" s="183"/>
      <c r="T323" s="184"/>
      <c r="U323" s="299"/>
      <c r="V323" s="183"/>
      <c r="W323" s="183"/>
      <c r="X323" s="209"/>
      <c r="Y323" s="185" t="s">
        <v>1103</v>
      </c>
    </row>
    <row r="324" spans="1:25" ht="15" customHeight="1" x14ac:dyDescent="0.3">
      <c r="A324" s="173">
        <v>217</v>
      </c>
      <c r="B324" s="173">
        <v>2</v>
      </c>
      <c r="C324" s="203" t="s">
        <v>616</v>
      </c>
      <c r="D324" s="185"/>
      <c r="E324" s="449"/>
      <c r="F324" s="178">
        <v>46248</v>
      </c>
      <c r="G324" s="180"/>
      <c r="H324" s="181"/>
      <c r="I324" s="182"/>
      <c r="J324" s="185"/>
      <c r="K324" s="185"/>
      <c r="L324" s="230"/>
      <c r="M324" s="182"/>
      <c r="N324" s="185"/>
      <c r="O324" s="183"/>
      <c r="P324" s="184"/>
      <c r="Q324" s="189"/>
      <c r="R324" s="183"/>
      <c r="S324" s="183"/>
      <c r="T324" s="184"/>
      <c r="U324" s="299"/>
      <c r="V324" s="183"/>
      <c r="W324" s="183"/>
      <c r="X324" s="209"/>
      <c r="Y324" s="185"/>
    </row>
    <row r="325" spans="1:25" ht="15" customHeight="1" x14ac:dyDescent="0.3">
      <c r="A325" s="357">
        <v>218</v>
      </c>
      <c r="B325" s="173">
        <v>3</v>
      </c>
      <c r="C325" s="203" t="s">
        <v>617</v>
      </c>
      <c r="D325" s="185"/>
      <c r="E325" s="449"/>
      <c r="F325" s="178">
        <v>46248</v>
      </c>
      <c r="G325" s="180"/>
      <c r="H325" s="181"/>
      <c r="I325" s="182"/>
      <c r="J325" s="185"/>
      <c r="K325" s="185"/>
      <c r="L325" s="230"/>
      <c r="M325" s="182"/>
      <c r="N325" s="185"/>
      <c r="O325" s="183"/>
      <c r="P325" s="184"/>
      <c r="Q325" s="189"/>
      <c r="R325" s="183"/>
      <c r="S325" s="183"/>
      <c r="T325" s="184"/>
      <c r="U325" s="299"/>
      <c r="V325" s="183"/>
      <c r="W325" s="183"/>
      <c r="X325" s="209"/>
      <c r="Y325" s="185" t="s">
        <v>897</v>
      </c>
    </row>
    <row r="326" spans="1:25" ht="15" customHeight="1" x14ac:dyDescent="0.3">
      <c r="A326" s="357">
        <v>219</v>
      </c>
      <c r="B326" s="173">
        <v>4</v>
      </c>
      <c r="C326" s="213" t="s">
        <v>35</v>
      </c>
      <c r="D326" s="185"/>
      <c r="E326" s="449"/>
      <c r="F326" s="178">
        <v>46248</v>
      </c>
      <c r="G326" s="180"/>
      <c r="H326" s="181"/>
      <c r="I326" s="182"/>
      <c r="J326" s="185"/>
      <c r="K326" s="185"/>
      <c r="L326" s="230"/>
      <c r="M326" s="182"/>
      <c r="N326" s="185"/>
      <c r="O326" s="183"/>
      <c r="P326" s="184"/>
      <c r="Q326" s="189"/>
      <c r="R326" s="183"/>
      <c r="S326" s="183"/>
      <c r="T326" s="184"/>
      <c r="U326" s="299"/>
      <c r="V326" s="183"/>
      <c r="W326" s="183"/>
      <c r="X326" s="209"/>
      <c r="Y326" s="185" t="s">
        <v>897</v>
      </c>
    </row>
    <row r="327" spans="1:25" ht="15" customHeight="1" x14ac:dyDescent="0.3">
      <c r="A327" s="357">
        <v>220</v>
      </c>
      <c r="B327" s="173">
        <v>5</v>
      </c>
      <c r="C327" s="213" t="s">
        <v>38</v>
      </c>
      <c r="D327" s="185"/>
      <c r="E327" s="449"/>
      <c r="F327" s="178">
        <v>46248</v>
      </c>
      <c r="G327" s="180"/>
      <c r="H327" s="181"/>
      <c r="I327" s="182"/>
      <c r="J327" s="185"/>
      <c r="K327" s="185"/>
      <c r="L327" s="230"/>
      <c r="M327" s="182"/>
      <c r="N327" s="185"/>
      <c r="O327" s="183"/>
      <c r="P327" s="184"/>
      <c r="Q327" s="189"/>
      <c r="R327" s="183"/>
      <c r="S327" s="183"/>
      <c r="T327" s="184"/>
      <c r="U327" s="299"/>
      <c r="V327" s="183"/>
      <c r="W327" s="183"/>
      <c r="X327" s="209"/>
      <c r="Y327" s="185" t="s">
        <v>1103</v>
      </c>
    </row>
    <row r="328" spans="1:25" ht="15" customHeight="1" x14ac:dyDescent="0.3">
      <c r="A328" s="357">
        <v>221</v>
      </c>
      <c r="B328" s="173">
        <v>6</v>
      </c>
      <c r="C328" s="213" t="s">
        <v>618</v>
      </c>
      <c r="D328" s="185"/>
      <c r="E328" s="449"/>
      <c r="F328" s="178">
        <v>46248</v>
      </c>
      <c r="G328" s="180"/>
      <c r="H328" s="181"/>
      <c r="I328" s="182"/>
      <c r="J328" s="185"/>
      <c r="K328" s="185"/>
      <c r="L328" s="230"/>
      <c r="M328" s="182"/>
      <c r="N328" s="185"/>
      <c r="O328" s="183"/>
      <c r="P328" s="184"/>
      <c r="Q328" s="189"/>
      <c r="R328" s="183"/>
      <c r="S328" s="183"/>
      <c r="T328" s="184"/>
      <c r="U328" s="299"/>
      <c r="V328" s="183"/>
      <c r="W328" s="183"/>
      <c r="X328" s="209"/>
      <c r="Y328" s="185" t="s">
        <v>1103</v>
      </c>
    </row>
    <row r="329" spans="1:25" ht="15" customHeight="1" x14ac:dyDescent="0.3">
      <c r="A329" s="357">
        <v>222</v>
      </c>
      <c r="B329" s="173">
        <v>7</v>
      </c>
      <c r="C329" s="213" t="s">
        <v>619</v>
      </c>
      <c r="D329" s="185"/>
      <c r="E329" s="449"/>
      <c r="F329" s="178">
        <v>46248</v>
      </c>
      <c r="G329" s="180"/>
      <c r="H329" s="181"/>
      <c r="I329" s="182"/>
      <c r="J329" s="185"/>
      <c r="K329" s="185"/>
      <c r="L329" s="230"/>
      <c r="M329" s="182"/>
      <c r="N329" s="185"/>
      <c r="O329" s="183"/>
      <c r="P329" s="184"/>
      <c r="Q329" s="189"/>
      <c r="R329" s="183"/>
      <c r="S329" s="183"/>
      <c r="T329" s="184"/>
      <c r="U329" s="299"/>
      <c r="V329" s="183"/>
      <c r="W329" s="183"/>
      <c r="X329" s="209"/>
      <c r="Y329" s="185" t="s">
        <v>1103</v>
      </c>
    </row>
    <row r="330" spans="1:25" ht="15" customHeight="1" x14ac:dyDescent="0.3">
      <c r="A330" s="357">
        <v>223</v>
      </c>
      <c r="B330" s="173">
        <v>8</v>
      </c>
      <c r="C330" s="213" t="s">
        <v>577</v>
      </c>
      <c r="D330" s="185"/>
      <c r="E330" s="449"/>
      <c r="F330" s="178">
        <v>46248</v>
      </c>
      <c r="G330" s="180"/>
      <c r="H330" s="181"/>
      <c r="I330" s="182"/>
      <c r="J330" s="185"/>
      <c r="K330" s="185"/>
      <c r="L330" s="230"/>
      <c r="M330" s="182"/>
      <c r="N330" s="185"/>
      <c r="O330" s="183"/>
      <c r="P330" s="184"/>
      <c r="Q330" s="189"/>
      <c r="R330" s="183"/>
      <c r="S330" s="183"/>
      <c r="T330" s="184"/>
      <c r="U330" s="299"/>
      <c r="V330" s="183"/>
      <c r="W330" s="183"/>
      <c r="X330" s="209"/>
      <c r="Y330" s="185"/>
    </row>
    <row r="331" spans="1:25" ht="15" customHeight="1" x14ac:dyDescent="0.3">
      <c r="A331" s="357">
        <v>224</v>
      </c>
      <c r="B331" s="173">
        <v>9</v>
      </c>
      <c r="C331" s="213" t="s">
        <v>620</v>
      </c>
      <c r="D331" s="185"/>
      <c r="E331" s="449"/>
      <c r="F331" s="178">
        <v>46248</v>
      </c>
      <c r="G331" s="180"/>
      <c r="H331" s="181"/>
      <c r="I331" s="182"/>
      <c r="J331" s="185"/>
      <c r="K331" s="185"/>
      <c r="L331" s="230"/>
      <c r="M331" s="182"/>
      <c r="N331" s="185"/>
      <c r="O331" s="183"/>
      <c r="P331" s="184"/>
      <c r="Q331" s="189"/>
      <c r="R331" s="183"/>
      <c r="S331" s="183"/>
      <c r="T331" s="184"/>
      <c r="U331" s="299"/>
      <c r="V331" s="183"/>
      <c r="W331" s="183"/>
      <c r="X331" s="209"/>
      <c r="Y331" s="185"/>
    </row>
    <row r="332" spans="1:25" ht="15" customHeight="1" x14ac:dyDescent="0.3">
      <c r="A332" s="357">
        <v>225</v>
      </c>
      <c r="B332" s="173">
        <v>10</v>
      </c>
      <c r="C332" s="213" t="s">
        <v>55</v>
      </c>
      <c r="D332" s="185"/>
      <c r="E332" s="449"/>
      <c r="F332" s="178">
        <v>46248</v>
      </c>
      <c r="G332" s="180"/>
      <c r="H332" s="181"/>
      <c r="I332" s="182"/>
      <c r="J332" s="185"/>
      <c r="K332" s="185"/>
      <c r="L332" s="230"/>
      <c r="M332" s="182"/>
      <c r="N332" s="185"/>
      <c r="O332" s="183"/>
      <c r="P332" s="184"/>
      <c r="Q332" s="189"/>
      <c r="R332" s="183"/>
      <c r="S332" s="183"/>
      <c r="T332" s="184"/>
      <c r="U332" s="299"/>
      <c r="V332" s="183"/>
      <c r="W332" s="183"/>
      <c r="X332" s="209"/>
      <c r="Y332" s="185"/>
    </row>
    <row r="333" spans="1:25" ht="15" customHeight="1" x14ac:dyDescent="0.3">
      <c r="A333" s="357">
        <v>226</v>
      </c>
      <c r="B333" s="173">
        <v>11</v>
      </c>
      <c r="C333" s="213" t="s">
        <v>621</v>
      </c>
      <c r="D333" s="185"/>
      <c r="E333" s="449"/>
      <c r="F333" s="178">
        <v>46248</v>
      </c>
      <c r="G333" s="180"/>
      <c r="H333" s="181"/>
      <c r="I333" s="182"/>
      <c r="J333" s="185"/>
      <c r="K333" s="185"/>
      <c r="L333" s="230"/>
      <c r="M333" s="182"/>
      <c r="N333" s="185"/>
      <c r="O333" s="183"/>
      <c r="P333" s="184"/>
      <c r="Q333" s="189"/>
      <c r="R333" s="183"/>
      <c r="S333" s="183"/>
      <c r="T333" s="184"/>
      <c r="U333" s="299"/>
      <c r="V333" s="183"/>
      <c r="W333" s="183"/>
      <c r="X333" s="209"/>
      <c r="Y333" s="185" t="s">
        <v>897</v>
      </c>
    </row>
    <row r="334" spans="1:25" ht="15" customHeight="1" x14ac:dyDescent="0.3">
      <c r="A334" s="357">
        <v>227</v>
      </c>
      <c r="B334" s="173">
        <v>12</v>
      </c>
      <c r="C334" s="213" t="s">
        <v>622</v>
      </c>
      <c r="D334" s="185"/>
      <c r="E334" s="449"/>
      <c r="F334" s="178">
        <v>46248</v>
      </c>
      <c r="G334" s="180"/>
      <c r="H334" s="181"/>
      <c r="I334" s="182"/>
      <c r="J334" s="185"/>
      <c r="K334" s="185"/>
      <c r="L334" s="230"/>
      <c r="M334" s="182"/>
      <c r="N334" s="185"/>
      <c r="O334" s="183"/>
      <c r="P334" s="184"/>
      <c r="Q334" s="189"/>
      <c r="R334" s="183"/>
      <c r="S334" s="183"/>
      <c r="T334" s="184"/>
      <c r="U334" s="299"/>
      <c r="V334" s="183"/>
      <c r="W334" s="183"/>
      <c r="X334" s="209"/>
      <c r="Y334" s="185"/>
    </row>
    <row r="335" spans="1:25" ht="15" customHeight="1" x14ac:dyDescent="0.3">
      <c r="A335" s="357">
        <v>228</v>
      </c>
      <c r="B335" s="173">
        <v>13</v>
      </c>
      <c r="C335" s="213" t="s">
        <v>623</v>
      </c>
      <c r="D335" s="185"/>
      <c r="E335" s="449"/>
      <c r="F335" s="178">
        <v>46248</v>
      </c>
      <c r="G335" s="180"/>
      <c r="H335" s="181"/>
      <c r="I335" s="182"/>
      <c r="J335" s="185"/>
      <c r="K335" s="185"/>
      <c r="L335" s="230"/>
      <c r="M335" s="182"/>
      <c r="N335" s="185"/>
      <c r="O335" s="183"/>
      <c r="P335" s="184"/>
      <c r="Q335" s="189"/>
      <c r="R335" s="183"/>
      <c r="S335" s="183"/>
      <c r="T335" s="184"/>
      <c r="U335" s="299"/>
      <c r="V335" s="183"/>
      <c r="W335" s="183"/>
      <c r="X335" s="209"/>
      <c r="Y335" s="185" t="s">
        <v>897</v>
      </c>
    </row>
    <row r="336" spans="1:25" ht="15" customHeight="1" x14ac:dyDescent="0.3">
      <c r="A336" s="357">
        <v>229</v>
      </c>
      <c r="B336" s="173">
        <v>14</v>
      </c>
      <c r="C336" s="213" t="s">
        <v>624</v>
      </c>
      <c r="D336" s="185"/>
      <c r="E336" s="449"/>
      <c r="F336" s="178">
        <v>46248</v>
      </c>
      <c r="G336" s="180"/>
      <c r="H336" s="181"/>
      <c r="I336" s="182"/>
      <c r="J336" s="185"/>
      <c r="K336" s="185"/>
      <c r="L336" s="230"/>
      <c r="M336" s="182"/>
      <c r="N336" s="185"/>
      <c r="O336" s="183"/>
      <c r="P336" s="184"/>
      <c r="Q336" s="189"/>
      <c r="R336" s="183"/>
      <c r="S336" s="183"/>
      <c r="T336" s="184"/>
      <c r="U336" s="299"/>
      <c r="V336" s="183"/>
      <c r="W336" s="183"/>
      <c r="X336" s="209"/>
      <c r="Y336" s="185" t="s">
        <v>897</v>
      </c>
    </row>
    <row r="337" spans="1:25" ht="15" customHeight="1" x14ac:dyDescent="0.3">
      <c r="A337" s="357">
        <v>230</v>
      </c>
      <c r="B337" s="173">
        <v>15</v>
      </c>
      <c r="C337" s="213" t="s">
        <v>625</v>
      </c>
      <c r="D337" s="185"/>
      <c r="E337" s="449"/>
      <c r="F337" s="178">
        <v>46248</v>
      </c>
      <c r="G337" s="180"/>
      <c r="H337" s="181"/>
      <c r="I337" s="182"/>
      <c r="J337" s="185"/>
      <c r="K337" s="185"/>
      <c r="L337" s="230"/>
      <c r="M337" s="182"/>
      <c r="N337" s="185"/>
      <c r="O337" s="183"/>
      <c r="P337" s="184"/>
      <c r="Q337" s="189"/>
      <c r="R337" s="183"/>
      <c r="S337" s="183"/>
      <c r="T337" s="184"/>
      <c r="U337" s="299"/>
      <c r="V337" s="183"/>
      <c r="W337" s="183"/>
      <c r="X337" s="209"/>
      <c r="Y337" s="185"/>
    </row>
    <row r="338" spans="1:25" ht="15" customHeight="1" x14ac:dyDescent="0.3">
      <c r="A338" s="357">
        <v>231</v>
      </c>
      <c r="B338" s="173">
        <v>16</v>
      </c>
      <c r="C338" s="213" t="s">
        <v>626</v>
      </c>
      <c r="D338" s="185"/>
      <c r="E338" s="449"/>
      <c r="F338" s="178">
        <v>46248</v>
      </c>
      <c r="G338" s="180"/>
      <c r="H338" s="181"/>
      <c r="I338" s="182"/>
      <c r="J338" s="185"/>
      <c r="K338" s="185"/>
      <c r="L338" s="230"/>
      <c r="M338" s="182"/>
      <c r="N338" s="185"/>
      <c r="O338" s="183"/>
      <c r="P338" s="184"/>
      <c r="Q338" s="189"/>
      <c r="R338" s="183"/>
      <c r="S338" s="183"/>
      <c r="T338" s="184"/>
      <c r="U338" s="299"/>
      <c r="V338" s="183"/>
      <c r="W338" s="183"/>
      <c r="X338" s="209"/>
      <c r="Y338" s="185"/>
    </row>
    <row r="339" spans="1:25" ht="15" customHeight="1" x14ac:dyDescent="0.3">
      <c r="A339" s="357">
        <v>232</v>
      </c>
      <c r="B339" s="173">
        <v>17</v>
      </c>
      <c r="C339" s="213" t="s">
        <v>627</v>
      </c>
      <c r="D339" s="185"/>
      <c r="E339" s="449"/>
      <c r="F339" s="178">
        <v>46248</v>
      </c>
      <c r="G339" s="180"/>
      <c r="H339" s="181"/>
      <c r="I339" s="182"/>
      <c r="J339" s="185"/>
      <c r="K339" s="185"/>
      <c r="L339" s="230"/>
      <c r="M339" s="182"/>
      <c r="N339" s="185"/>
      <c r="O339" s="183"/>
      <c r="P339" s="184"/>
      <c r="Q339" s="189"/>
      <c r="R339" s="183"/>
      <c r="S339" s="183"/>
      <c r="T339" s="184"/>
      <c r="U339" s="299"/>
      <c r="V339" s="183"/>
      <c r="W339" s="183"/>
      <c r="X339" s="209"/>
      <c r="Y339" s="185" t="s">
        <v>897</v>
      </c>
    </row>
    <row r="340" spans="1:25" ht="15" customHeight="1" x14ac:dyDescent="0.3">
      <c r="A340" s="357">
        <v>233</v>
      </c>
      <c r="B340" s="173">
        <v>18</v>
      </c>
      <c r="C340" s="213" t="s">
        <v>628</v>
      </c>
      <c r="D340" s="185"/>
      <c r="E340" s="449"/>
      <c r="F340" s="178">
        <v>46248</v>
      </c>
      <c r="G340" s="180"/>
      <c r="H340" s="181"/>
      <c r="I340" s="182"/>
      <c r="J340" s="185"/>
      <c r="K340" s="185"/>
      <c r="L340" s="230"/>
      <c r="M340" s="182"/>
      <c r="N340" s="185"/>
      <c r="O340" s="183"/>
      <c r="P340" s="184"/>
      <c r="Q340" s="189"/>
      <c r="R340" s="183"/>
      <c r="S340" s="183"/>
      <c r="T340" s="184"/>
      <c r="U340" s="299"/>
      <c r="V340" s="183"/>
      <c r="W340" s="183"/>
      <c r="X340" s="209"/>
      <c r="Y340" s="185"/>
    </row>
    <row r="341" spans="1:25" ht="15" customHeight="1" x14ac:dyDescent="0.3">
      <c r="A341" s="357">
        <v>234</v>
      </c>
      <c r="B341" s="173">
        <v>19</v>
      </c>
      <c r="C341" s="213" t="s">
        <v>629</v>
      </c>
      <c r="D341" s="185"/>
      <c r="E341" s="449"/>
      <c r="F341" s="178">
        <v>46248</v>
      </c>
      <c r="G341" s="180"/>
      <c r="H341" s="181"/>
      <c r="I341" s="182"/>
      <c r="J341" s="185"/>
      <c r="K341" s="185"/>
      <c r="L341" s="230"/>
      <c r="M341" s="182"/>
      <c r="N341" s="185"/>
      <c r="O341" s="183"/>
      <c r="P341" s="184"/>
      <c r="Q341" s="189"/>
      <c r="R341" s="183"/>
      <c r="S341" s="183"/>
      <c r="T341" s="184"/>
      <c r="U341" s="299"/>
      <c r="V341" s="183"/>
      <c r="W341" s="183"/>
      <c r="X341" s="209"/>
      <c r="Y341" s="185" t="s">
        <v>1103</v>
      </c>
    </row>
    <row r="342" spans="1:25" ht="15" customHeight="1" x14ac:dyDescent="0.3">
      <c r="A342" s="357">
        <v>235</v>
      </c>
      <c r="B342" s="173">
        <v>20</v>
      </c>
      <c r="C342" s="213" t="s">
        <v>630</v>
      </c>
      <c r="D342" s="185"/>
      <c r="E342" s="449"/>
      <c r="F342" s="178">
        <v>46248</v>
      </c>
      <c r="G342" s="180"/>
      <c r="H342" s="181"/>
      <c r="I342" s="182"/>
      <c r="J342" s="185"/>
      <c r="K342" s="185"/>
      <c r="L342" s="230"/>
      <c r="M342" s="182"/>
      <c r="N342" s="185"/>
      <c r="O342" s="183"/>
      <c r="P342" s="184"/>
      <c r="Q342" s="189"/>
      <c r="R342" s="183"/>
      <c r="S342" s="183"/>
      <c r="T342" s="184"/>
      <c r="U342" s="299"/>
      <c r="V342" s="183"/>
      <c r="W342" s="183"/>
      <c r="X342" s="209"/>
      <c r="Y342" s="185" t="s">
        <v>897</v>
      </c>
    </row>
    <row r="343" spans="1:25" ht="15" customHeight="1" x14ac:dyDescent="0.3">
      <c r="A343" s="357">
        <v>236</v>
      </c>
      <c r="B343" s="173">
        <v>21</v>
      </c>
      <c r="C343" s="213" t="s">
        <v>631</v>
      </c>
      <c r="D343" s="185"/>
      <c r="E343" s="449"/>
      <c r="F343" s="178">
        <v>46248</v>
      </c>
      <c r="G343" s="180"/>
      <c r="H343" s="181"/>
      <c r="I343" s="182"/>
      <c r="J343" s="185"/>
      <c r="K343" s="185"/>
      <c r="L343" s="230"/>
      <c r="M343" s="182"/>
      <c r="N343" s="185"/>
      <c r="O343" s="183"/>
      <c r="P343" s="184"/>
      <c r="Q343" s="189"/>
      <c r="R343" s="183"/>
      <c r="S343" s="183"/>
      <c r="T343" s="184"/>
      <c r="U343" s="299"/>
      <c r="V343" s="183"/>
      <c r="W343" s="183"/>
      <c r="X343" s="209"/>
      <c r="Y343" s="185" t="s">
        <v>897</v>
      </c>
    </row>
    <row r="344" spans="1:25" ht="15" customHeight="1" x14ac:dyDescent="0.3">
      <c r="A344" s="357">
        <v>237</v>
      </c>
      <c r="B344" s="173">
        <v>22</v>
      </c>
      <c r="C344" s="213" t="s">
        <v>632</v>
      </c>
      <c r="D344" s="185"/>
      <c r="E344" s="449"/>
      <c r="F344" s="178">
        <v>46248</v>
      </c>
      <c r="G344" s="180"/>
      <c r="H344" s="181"/>
      <c r="I344" s="182"/>
      <c r="J344" s="185"/>
      <c r="K344" s="185"/>
      <c r="L344" s="230"/>
      <c r="M344" s="182"/>
      <c r="N344" s="185"/>
      <c r="O344" s="183"/>
      <c r="P344" s="184"/>
      <c r="Q344" s="189"/>
      <c r="R344" s="183"/>
      <c r="S344" s="183"/>
      <c r="T344" s="184"/>
      <c r="U344" s="299"/>
      <c r="V344" s="183"/>
      <c r="W344" s="183"/>
      <c r="X344" s="209"/>
      <c r="Y344" s="185"/>
    </row>
    <row r="345" spans="1:25" ht="15" customHeight="1" x14ac:dyDescent="0.3">
      <c r="A345" s="357">
        <v>238</v>
      </c>
      <c r="B345" s="173">
        <v>23</v>
      </c>
      <c r="C345" s="213" t="s">
        <v>633</v>
      </c>
      <c r="D345" s="185"/>
      <c r="E345" s="449"/>
      <c r="F345" s="178">
        <v>46248</v>
      </c>
      <c r="G345" s="180"/>
      <c r="H345" s="181"/>
      <c r="I345" s="182"/>
      <c r="J345" s="185"/>
      <c r="K345" s="185"/>
      <c r="L345" s="230"/>
      <c r="M345" s="182"/>
      <c r="N345" s="185"/>
      <c r="O345" s="183"/>
      <c r="P345" s="184"/>
      <c r="Q345" s="189"/>
      <c r="R345" s="183"/>
      <c r="S345" s="183"/>
      <c r="T345" s="184"/>
      <c r="U345" s="299"/>
      <c r="V345" s="183"/>
      <c r="W345" s="183"/>
      <c r="X345" s="209"/>
      <c r="Y345" s="185" t="s">
        <v>1103</v>
      </c>
    </row>
    <row r="346" spans="1:25" ht="15" customHeight="1" x14ac:dyDescent="0.3">
      <c r="A346" s="357">
        <v>239</v>
      </c>
      <c r="B346" s="173">
        <v>24</v>
      </c>
      <c r="C346" s="213" t="s">
        <v>634</v>
      </c>
      <c r="D346" s="185"/>
      <c r="E346" s="449"/>
      <c r="F346" s="178">
        <v>46248</v>
      </c>
      <c r="G346" s="180"/>
      <c r="H346" s="181"/>
      <c r="I346" s="182"/>
      <c r="J346" s="185"/>
      <c r="K346" s="185"/>
      <c r="L346" s="230"/>
      <c r="M346" s="182"/>
      <c r="N346" s="185"/>
      <c r="O346" s="183"/>
      <c r="P346" s="184"/>
      <c r="Q346" s="189"/>
      <c r="R346" s="183"/>
      <c r="S346" s="183"/>
      <c r="T346" s="184"/>
      <c r="U346" s="299"/>
      <c r="V346" s="183"/>
      <c r="W346" s="183"/>
      <c r="X346" s="209"/>
      <c r="Y346" s="185"/>
    </row>
    <row r="347" spans="1:25" ht="15" customHeight="1" x14ac:dyDescent="0.3">
      <c r="A347" s="357">
        <v>240</v>
      </c>
      <c r="B347" s="173">
        <v>25</v>
      </c>
      <c r="C347" s="213" t="s">
        <v>635</v>
      </c>
      <c r="D347" s="185"/>
      <c r="E347" s="449"/>
      <c r="F347" s="178">
        <v>46248</v>
      </c>
      <c r="G347" s="180"/>
      <c r="H347" s="181"/>
      <c r="I347" s="182"/>
      <c r="J347" s="185"/>
      <c r="K347" s="185"/>
      <c r="L347" s="230"/>
      <c r="M347" s="182"/>
      <c r="N347" s="185"/>
      <c r="O347" s="183"/>
      <c r="P347" s="184"/>
      <c r="Q347" s="189"/>
      <c r="R347" s="183"/>
      <c r="S347" s="183"/>
      <c r="T347" s="184"/>
      <c r="U347" s="299"/>
      <c r="V347" s="183"/>
      <c r="W347" s="183"/>
      <c r="X347" s="209"/>
      <c r="Y347" s="185" t="s">
        <v>897</v>
      </c>
    </row>
    <row r="348" spans="1:25" ht="15" customHeight="1" x14ac:dyDescent="0.3">
      <c r="A348" s="357">
        <v>241</v>
      </c>
      <c r="B348" s="173">
        <v>26</v>
      </c>
      <c r="C348" s="213" t="s">
        <v>636</v>
      </c>
      <c r="D348" s="185"/>
      <c r="E348" s="449"/>
      <c r="F348" s="178">
        <v>46248</v>
      </c>
      <c r="G348" s="180"/>
      <c r="H348" s="181"/>
      <c r="I348" s="182"/>
      <c r="J348" s="185"/>
      <c r="K348" s="185"/>
      <c r="L348" s="230"/>
      <c r="M348" s="182"/>
      <c r="N348" s="185"/>
      <c r="O348" s="183"/>
      <c r="P348" s="184"/>
      <c r="Q348" s="189"/>
      <c r="R348" s="183"/>
      <c r="S348" s="183"/>
      <c r="T348" s="184"/>
      <c r="U348" s="299"/>
      <c r="V348" s="183"/>
      <c r="W348" s="183"/>
      <c r="X348" s="209"/>
      <c r="Y348" s="185"/>
    </row>
    <row r="349" spans="1:25" ht="15" customHeight="1" x14ac:dyDescent="0.3">
      <c r="A349" s="357">
        <v>242</v>
      </c>
      <c r="B349" s="173">
        <v>27</v>
      </c>
      <c r="C349" s="213" t="s">
        <v>637</v>
      </c>
      <c r="D349" s="185"/>
      <c r="E349" s="449"/>
      <c r="F349" s="178">
        <v>46248</v>
      </c>
      <c r="G349" s="180"/>
      <c r="H349" s="181"/>
      <c r="I349" s="182"/>
      <c r="J349" s="185"/>
      <c r="K349" s="185"/>
      <c r="L349" s="230"/>
      <c r="M349" s="182"/>
      <c r="N349" s="185"/>
      <c r="O349" s="183"/>
      <c r="P349" s="184"/>
      <c r="Q349" s="189"/>
      <c r="R349" s="183"/>
      <c r="S349" s="183"/>
      <c r="T349" s="184"/>
      <c r="U349" s="299"/>
      <c r="V349" s="183"/>
      <c r="W349" s="183"/>
      <c r="X349" s="209"/>
      <c r="Y349" s="185"/>
    </row>
    <row r="350" spans="1:25" ht="15" customHeight="1" x14ac:dyDescent="0.3">
      <c r="A350" s="357">
        <v>243</v>
      </c>
      <c r="B350" s="173">
        <v>28</v>
      </c>
      <c r="C350" s="213" t="s">
        <v>638</v>
      </c>
      <c r="D350" s="185"/>
      <c r="E350" s="449"/>
      <c r="F350" s="178">
        <v>46248</v>
      </c>
      <c r="G350" s="180"/>
      <c r="H350" s="181"/>
      <c r="I350" s="182"/>
      <c r="J350" s="185"/>
      <c r="K350" s="185"/>
      <c r="L350" s="230"/>
      <c r="M350" s="182"/>
      <c r="N350" s="185"/>
      <c r="O350" s="183"/>
      <c r="P350" s="184"/>
      <c r="Q350" s="189"/>
      <c r="R350" s="183"/>
      <c r="S350" s="183"/>
      <c r="T350" s="184"/>
      <c r="U350" s="299"/>
      <c r="V350" s="183"/>
      <c r="W350" s="183"/>
      <c r="X350" s="209"/>
      <c r="Y350" s="185"/>
    </row>
    <row r="351" spans="1:25" ht="15" customHeight="1" x14ac:dyDescent="0.3">
      <c r="A351" s="357">
        <v>244</v>
      </c>
      <c r="B351" s="173">
        <v>29</v>
      </c>
      <c r="C351" s="213" t="s">
        <v>639</v>
      </c>
      <c r="D351" s="185"/>
      <c r="E351" s="449"/>
      <c r="F351" s="178">
        <v>46248</v>
      </c>
      <c r="G351" s="180"/>
      <c r="H351" s="181"/>
      <c r="I351" s="182"/>
      <c r="J351" s="185"/>
      <c r="K351" s="185"/>
      <c r="L351" s="230"/>
      <c r="M351" s="182"/>
      <c r="N351" s="185"/>
      <c r="O351" s="183"/>
      <c r="P351" s="184"/>
      <c r="Q351" s="189"/>
      <c r="R351" s="183"/>
      <c r="S351" s="183"/>
      <c r="T351" s="184"/>
      <c r="U351" s="299"/>
      <c r="V351" s="183"/>
      <c r="W351" s="183"/>
      <c r="X351" s="209"/>
      <c r="Y351" s="185"/>
    </row>
    <row r="352" spans="1:25" ht="15" customHeight="1" x14ac:dyDescent="0.3">
      <c r="A352" s="357">
        <v>245</v>
      </c>
      <c r="B352" s="173">
        <v>30</v>
      </c>
      <c r="C352" s="213" t="s">
        <v>640</v>
      </c>
      <c r="D352" s="185"/>
      <c r="E352" s="449"/>
      <c r="F352" s="178">
        <v>46248</v>
      </c>
      <c r="G352" s="180"/>
      <c r="H352" s="181"/>
      <c r="I352" s="182"/>
      <c r="J352" s="185"/>
      <c r="K352" s="185"/>
      <c r="L352" s="230"/>
      <c r="M352" s="182"/>
      <c r="N352" s="185"/>
      <c r="O352" s="183"/>
      <c r="P352" s="184"/>
      <c r="Q352" s="189"/>
      <c r="R352" s="183"/>
      <c r="S352" s="183"/>
      <c r="T352" s="184"/>
      <c r="U352" s="299"/>
      <c r="V352" s="183"/>
      <c r="W352" s="183"/>
      <c r="X352" s="209"/>
      <c r="Y352" s="185"/>
    </row>
    <row r="353" spans="1:25" ht="52.95" customHeight="1" x14ac:dyDescent="0.3">
      <c r="A353" s="367"/>
      <c r="B353" s="368" t="s">
        <v>479</v>
      </c>
      <c r="C353" s="368" t="s">
        <v>283</v>
      </c>
      <c r="D353" s="386" t="s">
        <v>769</v>
      </c>
      <c r="E353" s="382"/>
      <c r="F353" s="387" t="s">
        <v>641</v>
      </c>
      <c r="G353" s="372"/>
      <c r="H353" s="373"/>
      <c r="I353" s="374"/>
      <c r="J353" s="371"/>
      <c r="K353" s="371"/>
      <c r="L353" s="375"/>
      <c r="M353" s="374"/>
      <c r="N353" s="371"/>
      <c r="O353" s="371"/>
      <c r="P353" s="376"/>
      <c r="Q353" s="374"/>
      <c r="R353" s="371"/>
      <c r="S353" s="371"/>
      <c r="T353" s="376"/>
      <c r="U353" s="377"/>
      <c r="V353" s="371"/>
      <c r="W353" s="371"/>
      <c r="X353" s="375"/>
      <c r="Y353" s="371" t="s">
        <v>1102</v>
      </c>
    </row>
    <row r="354" spans="1:25" ht="49.95" hidden="1" customHeight="1" x14ac:dyDescent="0.3">
      <c r="A354" s="173"/>
      <c r="B354" s="173">
        <v>1</v>
      </c>
      <c r="C354" s="193" t="s">
        <v>642</v>
      </c>
      <c r="D354" s="185" t="s">
        <v>643</v>
      </c>
      <c r="E354" s="207"/>
      <c r="F354" s="177" t="s">
        <v>765</v>
      </c>
      <c r="G354" s="464" t="s">
        <v>644</v>
      </c>
      <c r="H354" s="181"/>
      <c r="I354" s="182"/>
      <c r="J354" s="185"/>
      <c r="K354" s="185"/>
      <c r="L354" s="230"/>
      <c r="M354" s="182"/>
      <c r="N354" s="185"/>
      <c r="O354" s="185"/>
      <c r="P354" s="186"/>
      <c r="Q354" s="182"/>
      <c r="R354" s="185"/>
      <c r="S354" s="183"/>
      <c r="T354" s="184"/>
      <c r="U354" s="299"/>
      <c r="V354" s="183"/>
      <c r="W354" s="183"/>
      <c r="X354" s="209"/>
      <c r="Y354" s="441" t="s">
        <v>644</v>
      </c>
    </row>
    <row r="355" spans="1:25" ht="44.4" hidden="1" customHeight="1" x14ac:dyDescent="0.3">
      <c r="A355" s="173"/>
      <c r="B355" s="173">
        <v>2</v>
      </c>
      <c r="C355" s="193" t="s">
        <v>645</v>
      </c>
      <c r="D355" s="185" t="s">
        <v>643</v>
      </c>
      <c r="E355" s="207"/>
      <c r="F355" s="177" t="s">
        <v>765</v>
      </c>
      <c r="G355" s="464"/>
      <c r="H355" s="181"/>
      <c r="I355" s="182"/>
      <c r="J355" s="185"/>
      <c r="K355" s="185"/>
      <c r="L355" s="230"/>
      <c r="M355" s="182"/>
      <c r="N355" s="185"/>
      <c r="O355" s="185"/>
      <c r="P355" s="186"/>
      <c r="Q355" s="182"/>
      <c r="R355" s="185"/>
      <c r="S355" s="183"/>
      <c r="T355" s="184"/>
      <c r="U355" s="299"/>
      <c r="V355" s="183"/>
      <c r="W355" s="183"/>
      <c r="X355" s="209"/>
      <c r="Y355" s="441"/>
    </row>
    <row r="356" spans="1:25" ht="44.4" hidden="1" customHeight="1" x14ac:dyDescent="0.3">
      <c r="A356" s="173"/>
      <c r="B356" s="173">
        <v>3</v>
      </c>
      <c r="C356" s="193" t="s">
        <v>646</v>
      </c>
      <c r="D356" s="185" t="s">
        <v>643</v>
      </c>
      <c r="E356" s="207"/>
      <c r="F356" s="177" t="s">
        <v>765</v>
      </c>
      <c r="G356" s="464"/>
      <c r="H356" s="181"/>
      <c r="I356" s="182"/>
      <c r="J356" s="185"/>
      <c r="K356" s="185"/>
      <c r="L356" s="230"/>
      <c r="M356" s="182"/>
      <c r="N356" s="185"/>
      <c r="O356" s="185"/>
      <c r="P356" s="186"/>
      <c r="Q356" s="182"/>
      <c r="R356" s="185"/>
      <c r="S356" s="183"/>
      <c r="T356" s="184"/>
      <c r="U356" s="299"/>
      <c r="V356" s="183"/>
      <c r="W356" s="183"/>
      <c r="X356" s="209"/>
      <c r="Y356" s="441"/>
    </row>
    <row r="357" spans="1:25" ht="44.4" hidden="1" customHeight="1" x14ac:dyDescent="0.3">
      <c r="A357" s="173"/>
      <c r="B357" s="173">
        <v>4</v>
      </c>
      <c r="C357" s="193" t="s">
        <v>647</v>
      </c>
      <c r="D357" s="185" t="s">
        <v>643</v>
      </c>
      <c r="E357" s="207"/>
      <c r="F357" s="177" t="s">
        <v>765</v>
      </c>
      <c r="G357" s="464"/>
      <c r="H357" s="181"/>
      <c r="I357" s="182"/>
      <c r="J357" s="185"/>
      <c r="K357" s="185"/>
      <c r="L357" s="230"/>
      <c r="M357" s="182"/>
      <c r="N357" s="185"/>
      <c r="O357" s="185"/>
      <c r="P357" s="186"/>
      <c r="Q357" s="182"/>
      <c r="R357" s="185"/>
      <c r="S357" s="183"/>
      <c r="T357" s="184"/>
      <c r="U357" s="299"/>
      <c r="V357" s="183"/>
      <c r="W357" s="183"/>
      <c r="X357" s="209"/>
      <c r="Y357" s="441"/>
    </row>
    <row r="358" spans="1:25" ht="44.4" hidden="1" customHeight="1" x14ac:dyDescent="0.3">
      <c r="A358" s="173"/>
      <c r="B358" s="173">
        <v>5</v>
      </c>
      <c r="C358" s="193" t="s">
        <v>648</v>
      </c>
      <c r="D358" s="185" t="s">
        <v>643</v>
      </c>
      <c r="E358" s="207"/>
      <c r="F358" s="177" t="s">
        <v>765</v>
      </c>
      <c r="G358" s="464"/>
      <c r="H358" s="181"/>
      <c r="I358" s="182"/>
      <c r="J358" s="185"/>
      <c r="K358" s="185"/>
      <c r="L358" s="230"/>
      <c r="M358" s="182"/>
      <c r="N358" s="185"/>
      <c r="O358" s="185"/>
      <c r="P358" s="186"/>
      <c r="Q358" s="182"/>
      <c r="R358" s="185"/>
      <c r="S358" s="183"/>
      <c r="T358" s="184"/>
      <c r="U358" s="299"/>
      <c r="V358" s="183"/>
      <c r="W358" s="183"/>
      <c r="X358" s="209"/>
      <c r="Y358" s="441"/>
    </row>
    <row r="359" spans="1:25" ht="44.4" hidden="1" customHeight="1" x14ac:dyDescent="0.3">
      <c r="A359" s="173"/>
      <c r="B359" s="173">
        <v>6</v>
      </c>
      <c r="C359" s="193" t="s">
        <v>649</v>
      </c>
      <c r="D359" s="185" t="s">
        <v>643</v>
      </c>
      <c r="E359" s="207"/>
      <c r="F359" s="177" t="s">
        <v>765</v>
      </c>
      <c r="G359" s="464"/>
      <c r="H359" s="181"/>
      <c r="I359" s="182"/>
      <c r="J359" s="185"/>
      <c r="K359" s="185"/>
      <c r="L359" s="230"/>
      <c r="M359" s="182"/>
      <c r="N359" s="185"/>
      <c r="O359" s="185"/>
      <c r="P359" s="186"/>
      <c r="Q359" s="182"/>
      <c r="R359" s="185"/>
      <c r="S359" s="183"/>
      <c r="T359" s="184"/>
      <c r="U359" s="299"/>
      <c r="V359" s="183"/>
      <c r="W359" s="183"/>
      <c r="X359" s="209"/>
      <c r="Y359" s="441"/>
    </row>
    <row r="360" spans="1:25" ht="44.4" hidden="1" customHeight="1" x14ac:dyDescent="0.3">
      <c r="A360" s="173"/>
      <c r="B360" s="173">
        <v>7</v>
      </c>
      <c r="C360" s="193" t="s">
        <v>650</v>
      </c>
      <c r="D360" s="185" t="s">
        <v>643</v>
      </c>
      <c r="E360" s="207"/>
      <c r="F360" s="177" t="s">
        <v>765</v>
      </c>
      <c r="G360" s="464"/>
      <c r="H360" s="181"/>
      <c r="I360" s="182"/>
      <c r="J360" s="185"/>
      <c r="K360" s="185"/>
      <c r="L360" s="230"/>
      <c r="M360" s="182"/>
      <c r="N360" s="185"/>
      <c r="O360" s="185"/>
      <c r="P360" s="186"/>
      <c r="Q360" s="182"/>
      <c r="R360" s="185"/>
      <c r="S360" s="183"/>
      <c r="T360" s="184"/>
      <c r="U360" s="299"/>
      <c r="V360" s="183"/>
      <c r="W360" s="183"/>
      <c r="X360" s="209"/>
      <c r="Y360" s="441"/>
    </row>
    <row r="361" spans="1:25" ht="44.4" hidden="1" customHeight="1" x14ac:dyDescent="0.3">
      <c r="A361" s="173"/>
      <c r="B361" s="173">
        <v>8</v>
      </c>
      <c r="C361" s="193" t="s">
        <v>651</v>
      </c>
      <c r="D361" s="185" t="s">
        <v>643</v>
      </c>
      <c r="E361" s="207"/>
      <c r="F361" s="177" t="s">
        <v>765</v>
      </c>
      <c r="G361" s="464"/>
      <c r="H361" s="181"/>
      <c r="I361" s="182"/>
      <c r="J361" s="185"/>
      <c r="K361" s="185"/>
      <c r="L361" s="230"/>
      <c r="M361" s="182"/>
      <c r="N361" s="185"/>
      <c r="O361" s="185"/>
      <c r="P361" s="186"/>
      <c r="Q361" s="182"/>
      <c r="R361" s="185"/>
      <c r="S361" s="183"/>
      <c r="T361" s="184"/>
      <c r="U361" s="299"/>
      <c r="V361" s="183"/>
      <c r="W361" s="183"/>
      <c r="X361" s="209"/>
      <c r="Y361" s="441"/>
    </row>
    <row r="362" spans="1:25" ht="44.4" hidden="1" customHeight="1" x14ac:dyDescent="0.3">
      <c r="A362" s="173"/>
      <c r="B362" s="173">
        <v>9</v>
      </c>
      <c r="C362" s="193" t="s">
        <v>652</v>
      </c>
      <c r="D362" s="185" t="s">
        <v>643</v>
      </c>
      <c r="E362" s="207"/>
      <c r="F362" s="177" t="s">
        <v>765</v>
      </c>
      <c r="G362" s="464"/>
      <c r="H362" s="181"/>
      <c r="I362" s="182"/>
      <c r="J362" s="185"/>
      <c r="K362" s="185"/>
      <c r="L362" s="230"/>
      <c r="M362" s="182"/>
      <c r="N362" s="185"/>
      <c r="O362" s="185"/>
      <c r="P362" s="186"/>
      <c r="Q362" s="182"/>
      <c r="R362" s="185"/>
      <c r="S362" s="183"/>
      <c r="T362" s="184"/>
      <c r="U362" s="299"/>
      <c r="V362" s="183"/>
      <c r="W362" s="183"/>
      <c r="X362" s="209"/>
      <c r="Y362" s="441"/>
    </row>
    <row r="363" spans="1:25" ht="44.4" hidden="1" customHeight="1" x14ac:dyDescent="0.3">
      <c r="A363" s="173"/>
      <c r="B363" s="173">
        <v>10</v>
      </c>
      <c r="C363" s="193" t="s">
        <v>653</v>
      </c>
      <c r="D363" s="185" t="s">
        <v>643</v>
      </c>
      <c r="E363" s="207"/>
      <c r="F363" s="177" t="s">
        <v>765</v>
      </c>
      <c r="G363" s="464"/>
      <c r="H363" s="181"/>
      <c r="I363" s="182"/>
      <c r="J363" s="185"/>
      <c r="K363" s="185"/>
      <c r="L363" s="230"/>
      <c r="M363" s="182"/>
      <c r="N363" s="185"/>
      <c r="O363" s="185"/>
      <c r="P363" s="186"/>
      <c r="Q363" s="182"/>
      <c r="R363" s="185"/>
      <c r="S363" s="183"/>
      <c r="T363" s="184"/>
      <c r="U363" s="299"/>
      <c r="V363" s="183"/>
      <c r="W363" s="183"/>
      <c r="X363" s="209"/>
      <c r="Y363" s="441"/>
    </row>
    <row r="364" spans="1:25" ht="44.4" hidden="1" customHeight="1" x14ac:dyDescent="0.3">
      <c r="A364" s="173"/>
      <c r="B364" s="173">
        <v>11</v>
      </c>
      <c r="C364" s="193" t="s">
        <v>654</v>
      </c>
      <c r="D364" s="185" t="s">
        <v>643</v>
      </c>
      <c r="E364" s="207"/>
      <c r="F364" s="177" t="s">
        <v>765</v>
      </c>
      <c r="G364" s="464"/>
      <c r="H364" s="181"/>
      <c r="I364" s="182"/>
      <c r="J364" s="185"/>
      <c r="K364" s="185"/>
      <c r="L364" s="230"/>
      <c r="M364" s="182"/>
      <c r="N364" s="185"/>
      <c r="O364" s="185"/>
      <c r="P364" s="186"/>
      <c r="Q364" s="182"/>
      <c r="R364" s="185"/>
      <c r="S364" s="183"/>
      <c r="T364" s="184"/>
      <c r="U364" s="299"/>
      <c r="V364" s="183"/>
      <c r="W364" s="183"/>
      <c r="X364" s="209"/>
      <c r="Y364" s="441"/>
    </row>
    <row r="365" spans="1:25" ht="44.4" hidden="1" customHeight="1" x14ac:dyDescent="0.3">
      <c r="A365" s="173"/>
      <c r="B365" s="173">
        <v>12</v>
      </c>
      <c r="C365" s="193" t="s">
        <v>655</v>
      </c>
      <c r="D365" s="185" t="s">
        <v>643</v>
      </c>
      <c r="E365" s="207"/>
      <c r="F365" s="177" t="s">
        <v>765</v>
      </c>
      <c r="G365" s="464"/>
      <c r="H365" s="181"/>
      <c r="I365" s="182"/>
      <c r="J365" s="185"/>
      <c r="K365" s="185"/>
      <c r="L365" s="230"/>
      <c r="M365" s="182"/>
      <c r="N365" s="185"/>
      <c r="O365" s="185"/>
      <c r="P365" s="186"/>
      <c r="Q365" s="182"/>
      <c r="R365" s="185"/>
      <c r="S365" s="183"/>
      <c r="T365" s="184"/>
      <c r="U365" s="299"/>
      <c r="V365" s="183"/>
      <c r="W365" s="183"/>
      <c r="X365" s="209"/>
      <c r="Y365" s="441"/>
    </row>
    <row r="366" spans="1:25" ht="44.4" hidden="1" customHeight="1" x14ac:dyDescent="0.3">
      <c r="A366" s="173"/>
      <c r="B366" s="173">
        <v>13</v>
      </c>
      <c r="C366" s="193" t="s">
        <v>656</v>
      </c>
      <c r="D366" s="185" t="s">
        <v>643</v>
      </c>
      <c r="E366" s="207"/>
      <c r="F366" s="177" t="s">
        <v>765</v>
      </c>
      <c r="G366" s="464"/>
      <c r="H366" s="181"/>
      <c r="I366" s="182"/>
      <c r="J366" s="185"/>
      <c r="K366" s="185"/>
      <c r="L366" s="230"/>
      <c r="M366" s="182"/>
      <c r="N366" s="185"/>
      <c r="O366" s="185"/>
      <c r="P366" s="186"/>
      <c r="Q366" s="182"/>
      <c r="R366" s="185"/>
      <c r="S366" s="183"/>
      <c r="T366" s="184"/>
      <c r="U366" s="299"/>
      <c r="V366" s="183"/>
      <c r="W366" s="183"/>
      <c r="X366" s="209"/>
      <c r="Y366" s="441"/>
    </row>
    <row r="367" spans="1:25" ht="44.4" hidden="1" customHeight="1" x14ac:dyDescent="0.3">
      <c r="A367" s="173"/>
      <c r="B367" s="173">
        <v>14</v>
      </c>
      <c r="C367" s="193" t="s">
        <v>657</v>
      </c>
      <c r="D367" s="185" t="s">
        <v>643</v>
      </c>
      <c r="E367" s="207"/>
      <c r="F367" s="177" t="s">
        <v>765</v>
      </c>
      <c r="G367" s="464"/>
      <c r="H367" s="181"/>
      <c r="I367" s="182"/>
      <c r="J367" s="185"/>
      <c r="K367" s="185"/>
      <c r="L367" s="230"/>
      <c r="M367" s="182"/>
      <c r="N367" s="185"/>
      <c r="O367" s="185"/>
      <c r="P367" s="186"/>
      <c r="Q367" s="182"/>
      <c r="R367" s="185"/>
      <c r="S367" s="183"/>
      <c r="T367" s="184"/>
      <c r="U367" s="299"/>
      <c r="V367" s="183"/>
      <c r="W367" s="183"/>
      <c r="X367" s="209"/>
      <c r="Y367" s="441"/>
    </row>
    <row r="368" spans="1:25" ht="44.4" hidden="1" customHeight="1" x14ac:dyDescent="0.3">
      <c r="A368" s="173"/>
      <c r="B368" s="173">
        <v>15</v>
      </c>
      <c r="C368" s="193" t="s">
        <v>658</v>
      </c>
      <c r="D368" s="185" t="s">
        <v>643</v>
      </c>
      <c r="E368" s="207"/>
      <c r="F368" s="177" t="s">
        <v>765</v>
      </c>
      <c r="G368" s="464"/>
      <c r="H368" s="181"/>
      <c r="I368" s="182"/>
      <c r="J368" s="185"/>
      <c r="K368" s="185"/>
      <c r="L368" s="230"/>
      <c r="M368" s="182"/>
      <c r="N368" s="185"/>
      <c r="O368" s="185"/>
      <c r="P368" s="186"/>
      <c r="Q368" s="182"/>
      <c r="R368" s="185"/>
      <c r="S368" s="183"/>
      <c r="T368" s="184"/>
      <c r="U368" s="299"/>
      <c r="V368" s="183"/>
      <c r="W368" s="183"/>
      <c r="X368" s="209"/>
      <c r="Y368" s="441"/>
    </row>
    <row r="369" spans="1:25" ht="44.4" hidden="1" customHeight="1" x14ac:dyDescent="0.3">
      <c r="A369" s="173"/>
      <c r="B369" s="173">
        <v>16</v>
      </c>
      <c r="C369" s="193" t="s">
        <v>659</v>
      </c>
      <c r="D369" s="185" t="s">
        <v>643</v>
      </c>
      <c r="E369" s="207"/>
      <c r="F369" s="177" t="s">
        <v>765</v>
      </c>
      <c r="G369" s="464"/>
      <c r="H369" s="181"/>
      <c r="I369" s="182"/>
      <c r="J369" s="185"/>
      <c r="K369" s="185"/>
      <c r="L369" s="230"/>
      <c r="M369" s="182"/>
      <c r="N369" s="185"/>
      <c r="O369" s="185"/>
      <c r="P369" s="186"/>
      <c r="Q369" s="182"/>
      <c r="R369" s="185"/>
      <c r="S369" s="183"/>
      <c r="T369" s="184"/>
      <c r="U369" s="299"/>
      <c r="V369" s="183"/>
      <c r="W369" s="183"/>
      <c r="X369" s="209"/>
      <c r="Y369" s="441"/>
    </row>
    <row r="370" spans="1:25" ht="44.4" hidden="1" customHeight="1" x14ac:dyDescent="0.3">
      <c r="A370" s="173"/>
      <c r="B370" s="173">
        <v>17</v>
      </c>
      <c r="C370" s="193" t="s">
        <v>660</v>
      </c>
      <c r="D370" s="185" t="s">
        <v>643</v>
      </c>
      <c r="E370" s="207"/>
      <c r="F370" s="177" t="s">
        <v>765</v>
      </c>
      <c r="G370" s="464"/>
      <c r="H370" s="181"/>
      <c r="I370" s="182"/>
      <c r="J370" s="185"/>
      <c r="K370" s="185"/>
      <c r="L370" s="230"/>
      <c r="M370" s="182"/>
      <c r="N370" s="185"/>
      <c r="O370" s="185"/>
      <c r="P370" s="186"/>
      <c r="Q370" s="182"/>
      <c r="R370" s="185"/>
      <c r="S370" s="183"/>
      <c r="T370" s="184"/>
      <c r="U370" s="299"/>
      <c r="V370" s="183"/>
      <c r="W370" s="183"/>
      <c r="X370" s="209"/>
      <c r="Y370" s="441"/>
    </row>
    <row r="371" spans="1:25" ht="44.4" hidden="1" customHeight="1" x14ac:dyDescent="0.3">
      <c r="A371" s="173"/>
      <c r="B371" s="173">
        <v>18</v>
      </c>
      <c r="C371" s="193" t="s">
        <v>661</v>
      </c>
      <c r="D371" s="185" t="s">
        <v>643</v>
      </c>
      <c r="E371" s="207"/>
      <c r="F371" s="177" t="s">
        <v>765</v>
      </c>
      <c r="G371" s="464"/>
      <c r="H371" s="181"/>
      <c r="I371" s="182"/>
      <c r="J371" s="185"/>
      <c r="K371" s="185"/>
      <c r="L371" s="230"/>
      <c r="M371" s="182"/>
      <c r="N371" s="185"/>
      <c r="O371" s="185"/>
      <c r="P371" s="186"/>
      <c r="Q371" s="182"/>
      <c r="R371" s="185"/>
      <c r="S371" s="183"/>
      <c r="T371" s="184"/>
      <c r="U371" s="299"/>
      <c r="V371" s="183"/>
      <c r="W371" s="183"/>
      <c r="X371" s="209"/>
      <c r="Y371" s="441"/>
    </row>
    <row r="372" spans="1:25" ht="44.4" hidden="1" customHeight="1" x14ac:dyDescent="0.3">
      <c r="A372" s="173"/>
      <c r="B372" s="173">
        <v>19</v>
      </c>
      <c r="C372" s="193" t="s">
        <v>662</v>
      </c>
      <c r="D372" s="185" t="s">
        <v>643</v>
      </c>
      <c r="E372" s="207"/>
      <c r="F372" s="177" t="s">
        <v>765</v>
      </c>
      <c r="G372" s="464"/>
      <c r="H372" s="181"/>
      <c r="I372" s="182"/>
      <c r="J372" s="185"/>
      <c r="K372" s="185"/>
      <c r="L372" s="230"/>
      <c r="M372" s="182"/>
      <c r="N372" s="185"/>
      <c r="O372" s="185"/>
      <c r="P372" s="186"/>
      <c r="Q372" s="182"/>
      <c r="R372" s="185"/>
      <c r="S372" s="183"/>
      <c r="T372" s="184"/>
      <c r="U372" s="299"/>
      <c r="V372" s="183"/>
      <c r="W372" s="183"/>
      <c r="X372" s="209"/>
      <c r="Y372" s="441"/>
    </row>
    <row r="373" spans="1:25" ht="44.4" hidden="1" customHeight="1" x14ac:dyDescent="0.3">
      <c r="A373" s="173"/>
      <c r="B373" s="173">
        <v>20</v>
      </c>
      <c r="C373" s="314" t="s">
        <v>663</v>
      </c>
      <c r="D373" s="219" t="s">
        <v>643</v>
      </c>
      <c r="E373" s="253"/>
      <c r="F373" s="232" t="s">
        <v>765</v>
      </c>
      <c r="G373" s="464"/>
      <c r="H373" s="181"/>
      <c r="I373" s="182"/>
      <c r="J373" s="185"/>
      <c r="K373" s="185"/>
      <c r="L373" s="230"/>
      <c r="M373" s="182"/>
      <c r="N373" s="185"/>
      <c r="O373" s="185"/>
      <c r="P373" s="186"/>
      <c r="Q373" s="182"/>
      <c r="R373" s="185"/>
      <c r="S373" s="183"/>
      <c r="T373" s="184"/>
      <c r="U373" s="299"/>
      <c r="V373" s="183"/>
      <c r="W373" s="183"/>
      <c r="X373" s="209"/>
      <c r="Y373" s="441"/>
    </row>
    <row r="374" spans="1:25" ht="44.4" hidden="1" customHeight="1" x14ac:dyDescent="0.3">
      <c r="A374" s="173"/>
      <c r="B374" s="173">
        <v>21</v>
      </c>
      <c r="C374" s="314" t="s">
        <v>664</v>
      </c>
      <c r="D374" s="219" t="s">
        <v>643</v>
      </c>
      <c r="E374" s="253"/>
      <c r="F374" s="232" t="s">
        <v>765</v>
      </c>
      <c r="G374" s="464"/>
      <c r="H374" s="181"/>
      <c r="I374" s="182"/>
      <c r="J374" s="185"/>
      <c r="K374" s="185"/>
      <c r="L374" s="230"/>
      <c r="M374" s="182"/>
      <c r="N374" s="185"/>
      <c r="O374" s="185"/>
      <c r="P374" s="186"/>
      <c r="Q374" s="182"/>
      <c r="R374" s="185"/>
      <c r="S374" s="183"/>
      <c r="T374" s="184"/>
      <c r="U374" s="299"/>
      <c r="V374" s="183"/>
      <c r="W374" s="183"/>
      <c r="X374" s="209"/>
      <c r="Y374" s="441"/>
    </row>
    <row r="375" spans="1:25" ht="44.4" hidden="1" customHeight="1" x14ac:dyDescent="0.3">
      <c r="A375" s="173"/>
      <c r="B375" s="173">
        <v>22</v>
      </c>
      <c r="C375" s="314" t="s">
        <v>665</v>
      </c>
      <c r="D375" s="219" t="s">
        <v>643</v>
      </c>
      <c r="E375" s="253"/>
      <c r="F375" s="232" t="s">
        <v>765</v>
      </c>
      <c r="G375" s="464"/>
      <c r="H375" s="181"/>
      <c r="I375" s="182"/>
      <c r="J375" s="185"/>
      <c r="K375" s="185"/>
      <c r="L375" s="230"/>
      <c r="M375" s="182"/>
      <c r="N375" s="185"/>
      <c r="O375" s="185"/>
      <c r="P375" s="186"/>
      <c r="Q375" s="182"/>
      <c r="R375" s="185"/>
      <c r="S375" s="183"/>
      <c r="T375" s="184"/>
      <c r="U375" s="299"/>
      <c r="V375" s="183"/>
      <c r="W375" s="183"/>
      <c r="X375" s="209"/>
      <c r="Y375" s="441"/>
    </row>
    <row r="376" spans="1:25" ht="44.4" hidden="1" customHeight="1" x14ac:dyDescent="0.3">
      <c r="A376" s="173"/>
      <c r="B376" s="173">
        <v>23</v>
      </c>
      <c r="C376" s="314" t="s">
        <v>666</v>
      </c>
      <c r="D376" s="219" t="s">
        <v>643</v>
      </c>
      <c r="E376" s="253"/>
      <c r="F376" s="232" t="s">
        <v>765</v>
      </c>
      <c r="G376" s="464"/>
      <c r="H376" s="181"/>
      <c r="I376" s="182"/>
      <c r="J376" s="185"/>
      <c r="K376" s="185"/>
      <c r="L376" s="230"/>
      <c r="M376" s="182"/>
      <c r="N376" s="185"/>
      <c r="O376" s="185"/>
      <c r="P376" s="186"/>
      <c r="Q376" s="182"/>
      <c r="R376" s="185"/>
      <c r="S376" s="183"/>
      <c r="T376" s="184"/>
      <c r="U376" s="299"/>
      <c r="V376" s="183"/>
      <c r="W376" s="183"/>
      <c r="X376" s="209"/>
      <c r="Y376" s="441"/>
    </row>
    <row r="377" spans="1:25" ht="64.95" hidden="1" customHeight="1" x14ac:dyDescent="0.3">
      <c r="A377" s="173"/>
      <c r="B377" s="173">
        <v>24</v>
      </c>
      <c r="C377" s="314" t="s">
        <v>667</v>
      </c>
      <c r="D377" s="219" t="s">
        <v>643</v>
      </c>
      <c r="E377" s="253"/>
      <c r="F377" s="232" t="s">
        <v>765</v>
      </c>
      <c r="G377" s="464"/>
      <c r="H377" s="181"/>
      <c r="I377" s="182"/>
      <c r="J377" s="185"/>
      <c r="K377" s="185"/>
      <c r="L377" s="230"/>
      <c r="M377" s="182"/>
      <c r="N377" s="185"/>
      <c r="O377" s="185"/>
      <c r="P377" s="186"/>
      <c r="Q377" s="182"/>
      <c r="R377" s="185"/>
      <c r="S377" s="183"/>
      <c r="T377" s="184"/>
      <c r="U377" s="299"/>
      <c r="V377" s="183"/>
      <c r="W377" s="183"/>
      <c r="X377" s="209"/>
      <c r="Y377" s="441"/>
    </row>
    <row r="378" spans="1:25" ht="44.4" hidden="1" customHeight="1" x14ac:dyDescent="0.3">
      <c r="A378" s="173"/>
      <c r="B378" s="173">
        <v>25</v>
      </c>
      <c r="C378" s="314" t="s">
        <v>668</v>
      </c>
      <c r="D378" s="219" t="s">
        <v>643</v>
      </c>
      <c r="E378" s="253"/>
      <c r="F378" s="232" t="s">
        <v>765</v>
      </c>
      <c r="G378" s="464"/>
      <c r="H378" s="181"/>
      <c r="I378" s="182"/>
      <c r="J378" s="185"/>
      <c r="K378" s="185"/>
      <c r="L378" s="230"/>
      <c r="M378" s="182"/>
      <c r="N378" s="185"/>
      <c r="O378" s="185"/>
      <c r="P378" s="186"/>
      <c r="Q378" s="182"/>
      <c r="R378" s="185"/>
      <c r="S378" s="183"/>
      <c r="T378" s="184"/>
      <c r="U378" s="299"/>
      <c r="V378" s="183"/>
      <c r="W378" s="183"/>
      <c r="X378" s="209"/>
      <c r="Y378" s="441"/>
    </row>
    <row r="379" spans="1:25" ht="44.4" hidden="1" customHeight="1" x14ac:dyDescent="0.3">
      <c r="A379" s="173"/>
      <c r="B379" s="173">
        <v>26</v>
      </c>
      <c r="C379" s="314" t="s">
        <v>669</v>
      </c>
      <c r="D379" s="219" t="s">
        <v>643</v>
      </c>
      <c r="E379" s="253"/>
      <c r="F379" s="232" t="s">
        <v>765</v>
      </c>
      <c r="G379" s="464"/>
      <c r="H379" s="181"/>
      <c r="I379" s="182"/>
      <c r="J379" s="185"/>
      <c r="K379" s="185"/>
      <c r="L379" s="230"/>
      <c r="M379" s="182"/>
      <c r="N379" s="185"/>
      <c r="O379" s="185"/>
      <c r="P379" s="186"/>
      <c r="Q379" s="182"/>
      <c r="R379" s="185"/>
      <c r="S379" s="183"/>
      <c r="T379" s="184"/>
      <c r="U379" s="299"/>
      <c r="V379" s="183"/>
      <c r="W379" s="183"/>
      <c r="X379" s="209"/>
      <c r="Y379" s="441"/>
    </row>
    <row r="380" spans="1:25" ht="44.4" hidden="1" customHeight="1" x14ac:dyDescent="0.3">
      <c r="A380" s="173"/>
      <c r="B380" s="173">
        <v>27</v>
      </c>
      <c r="C380" s="314" t="s">
        <v>670</v>
      </c>
      <c r="D380" s="219" t="s">
        <v>643</v>
      </c>
      <c r="E380" s="253"/>
      <c r="F380" s="232" t="s">
        <v>765</v>
      </c>
      <c r="G380" s="464"/>
      <c r="H380" s="181"/>
      <c r="I380" s="182"/>
      <c r="J380" s="185"/>
      <c r="K380" s="185"/>
      <c r="L380" s="230"/>
      <c r="M380" s="182"/>
      <c r="N380" s="185"/>
      <c r="O380" s="185"/>
      <c r="P380" s="186"/>
      <c r="Q380" s="182"/>
      <c r="R380" s="185"/>
      <c r="S380" s="183"/>
      <c r="T380" s="184"/>
      <c r="U380" s="299"/>
      <c r="V380" s="183"/>
      <c r="W380" s="183"/>
      <c r="X380" s="209"/>
      <c r="Y380" s="441"/>
    </row>
    <row r="381" spans="1:25" ht="44.4" hidden="1" customHeight="1" x14ac:dyDescent="0.3">
      <c r="A381" s="173"/>
      <c r="B381" s="173">
        <v>28</v>
      </c>
      <c r="C381" s="193" t="s">
        <v>671</v>
      </c>
      <c r="D381" s="185" t="s">
        <v>643</v>
      </c>
      <c r="E381" s="207"/>
      <c r="F381" s="177" t="s">
        <v>765</v>
      </c>
      <c r="G381" s="464"/>
      <c r="H381" s="181"/>
      <c r="I381" s="182"/>
      <c r="J381" s="185"/>
      <c r="K381" s="185"/>
      <c r="L381" s="230"/>
      <c r="M381" s="182"/>
      <c r="N381" s="185"/>
      <c r="O381" s="185"/>
      <c r="P381" s="186"/>
      <c r="Q381" s="182"/>
      <c r="R381" s="185"/>
      <c r="S381" s="183"/>
      <c r="T381" s="184"/>
      <c r="U381" s="299"/>
      <c r="V381" s="183"/>
      <c r="W381" s="183"/>
      <c r="X381" s="209"/>
      <c r="Y381" s="441"/>
    </row>
    <row r="382" spans="1:25" ht="44.4" hidden="1" customHeight="1" x14ac:dyDescent="0.3">
      <c r="A382" s="173"/>
      <c r="B382" s="173">
        <v>29</v>
      </c>
      <c r="C382" s="193" t="s">
        <v>672</v>
      </c>
      <c r="D382" s="185" t="s">
        <v>643</v>
      </c>
      <c r="E382" s="207"/>
      <c r="F382" s="177" t="s">
        <v>765</v>
      </c>
      <c r="G382" s="464"/>
      <c r="H382" s="181"/>
      <c r="I382" s="182"/>
      <c r="J382" s="185"/>
      <c r="K382" s="185"/>
      <c r="L382" s="230"/>
      <c r="M382" s="182"/>
      <c r="N382" s="185"/>
      <c r="O382" s="185"/>
      <c r="P382" s="186"/>
      <c r="Q382" s="182"/>
      <c r="R382" s="185"/>
      <c r="S382" s="183"/>
      <c r="T382" s="184"/>
      <c r="U382" s="299"/>
      <c r="V382" s="183"/>
      <c r="W382" s="183"/>
      <c r="X382" s="209"/>
      <c r="Y382" s="441"/>
    </row>
    <row r="383" spans="1:25" ht="44.4" hidden="1" customHeight="1" x14ac:dyDescent="0.3">
      <c r="A383" s="173"/>
      <c r="B383" s="173">
        <v>30</v>
      </c>
      <c r="C383" s="193" t="s">
        <v>673</v>
      </c>
      <c r="D383" s="185" t="s">
        <v>643</v>
      </c>
      <c r="E383" s="207"/>
      <c r="F383" s="177" t="s">
        <v>765</v>
      </c>
      <c r="G383" s="464"/>
      <c r="H383" s="181"/>
      <c r="I383" s="182"/>
      <c r="J383" s="185"/>
      <c r="K383" s="185"/>
      <c r="L383" s="230"/>
      <c r="M383" s="182"/>
      <c r="N383" s="185"/>
      <c r="O383" s="185"/>
      <c r="P383" s="186"/>
      <c r="Q383" s="182"/>
      <c r="R383" s="185"/>
      <c r="S383" s="183"/>
      <c r="T383" s="184"/>
      <c r="U383" s="299"/>
      <c r="V383" s="183"/>
      <c r="W383" s="183"/>
      <c r="X383" s="209"/>
      <c r="Y383" s="441"/>
    </row>
    <row r="384" spans="1:25" ht="44.4" hidden="1" customHeight="1" x14ac:dyDescent="0.3">
      <c r="A384" s="173"/>
      <c r="B384" s="173">
        <v>31</v>
      </c>
      <c r="C384" s="193" t="s">
        <v>674</v>
      </c>
      <c r="D384" s="185" t="s">
        <v>643</v>
      </c>
      <c r="E384" s="207"/>
      <c r="F384" s="177" t="s">
        <v>765</v>
      </c>
      <c r="G384" s="464"/>
      <c r="H384" s="181"/>
      <c r="I384" s="182"/>
      <c r="J384" s="185"/>
      <c r="K384" s="185"/>
      <c r="L384" s="230"/>
      <c r="M384" s="182"/>
      <c r="N384" s="185"/>
      <c r="O384" s="185"/>
      <c r="P384" s="186"/>
      <c r="Q384" s="182"/>
      <c r="R384" s="185"/>
      <c r="S384" s="183"/>
      <c r="T384" s="184"/>
      <c r="U384" s="299"/>
      <c r="V384" s="183"/>
      <c r="W384" s="183"/>
      <c r="X384" s="209"/>
      <c r="Y384" s="441"/>
    </row>
    <row r="385" spans="1:28" ht="44.4" hidden="1" customHeight="1" x14ac:dyDescent="0.3">
      <c r="A385" s="173"/>
      <c r="B385" s="173">
        <v>32</v>
      </c>
      <c r="C385" s="193" t="s">
        <v>675</v>
      </c>
      <c r="D385" s="185" t="s">
        <v>643</v>
      </c>
      <c r="E385" s="207"/>
      <c r="F385" s="177" t="s">
        <v>765</v>
      </c>
      <c r="G385" s="464"/>
      <c r="H385" s="181"/>
      <c r="I385" s="182"/>
      <c r="J385" s="185"/>
      <c r="K385" s="185"/>
      <c r="L385" s="230"/>
      <c r="M385" s="182"/>
      <c r="N385" s="185"/>
      <c r="O385" s="185"/>
      <c r="P385" s="186"/>
      <c r="Q385" s="182"/>
      <c r="R385" s="185"/>
      <c r="S385" s="183"/>
      <c r="T385" s="184"/>
      <c r="U385" s="299"/>
      <c r="V385" s="183"/>
      <c r="W385" s="183"/>
      <c r="X385" s="209"/>
      <c r="Y385" s="441"/>
    </row>
    <row r="386" spans="1:28" ht="44.4" hidden="1" customHeight="1" x14ac:dyDescent="0.3">
      <c r="A386" s="173"/>
      <c r="B386" s="173">
        <v>33</v>
      </c>
      <c r="C386" s="193" t="s">
        <v>676</v>
      </c>
      <c r="D386" s="185" t="s">
        <v>643</v>
      </c>
      <c r="E386" s="207"/>
      <c r="F386" s="177" t="s">
        <v>765</v>
      </c>
      <c r="G386" s="464"/>
      <c r="H386" s="181"/>
      <c r="I386" s="182"/>
      <c r="J386" s="185"/>
      <c r="K386" s="185"/>
      <c r="L386" s="230"/>
      <c r="M386" s="182"/>
      <c r="N386" s="185"/>
      <c r="O386" s="185"/>
      <c r="P386" s="186"/>
      <c r="Q386" s="182"/>
      <c r="R386" s="185"/>
      <c r="S386" s="183"/>
      <c r="T386" s="184"/>
      <c r="U386" s="299"/>
      <c r="V386" s="183"/>
      <c r="W386" s="183"/>
      <c r="X386" s="209"/>
      <c r="Y386" s="441"/>
    </row>
    <row r="387" spans="1:28" ht="44.4" hidden="1" customHeight="1" x14ac:dyDescent="0.3">
      <c r="A387" s="173"/>
      <c r="B387" s="173">
        <v>34</v>
      </c>
      <c r="C387" s="193" t="s">
        <v>677</v>
      </c>
      <c r="D387" s="185" t="s">
        <v>643</v>
      </c>
      <c r="E387" s="207"/>
      <c r="F387" s="177" t="s">
        <v>765</v>
      </c>
      <c r="G387" s="464"/>
      <c r="H387" s="181"/>
      <c r="I387" s="182"/>
      <c r="J387" s="185"/>
      <c r="K387" s="185"/>
      <c r="L387" s="230"/>
      <c r="M387" s="182"/>
      <c r="N387" s="185"/>
      <c r="O387" s="185"/>
      <c r="P387" s="186"/>
      <c r="Q387" s="182"/>
      <c r="R387" s="185"/>
      <c r="S387" s="183"/>
      <c r="T387" s="184"/>
      <c r="U387" s="299"/>
      <c r="V387" s="183"/>
      <c r="W387" s="183"/>
      <c r="X387" s="209"/>
      <c r="Y387" s="441"/>
    </row>
    <row r="388" spans="1:28" ht="44.4" hidden="1" customHeight="1" x14ac:dyDescent="0.3">
      <c r="A388" s="173"/>
      <c r="B388" s="173">
        <v>35</v>
      </c>
      <c r="C388" s="193" t="s">
        <v>678</v>
      </c>
      <c r="D388" s="185" t="s">
        <v>643</v>
      </c>
      <c r="E388" s="207"/>
      <c r="F388" s="177" t="s">
        <v>765</v>
      </c>
      <c r="G388" s="464"/>
      <c r="H388" s="181"/>
      <c r="I388" s="182"/>
      <c r="J388" s="185"/>
      <c r="K388" s="185"/>
      <c r="L388" s="230"/>
      <c r="M388" s="182"/>
      <c r="N388" s="185"/>
      <c r="O388" s="185"/>
      <c r="P388" s="186"/>
      <c r="Q388" s="182"/>
      <c r="R388" s="185"/>
      <c r="S388" s="183"/>
      <c r="T388" s="184"/>
      <c r="U388" s="299"/>
      <c r="V388" s="183"/>
      <c r="W388" s="183"/>
      <c r="X388" s="209"/>
      <c r="Y388" s="441"/>
    </row>
    <row r="389" spans="1:28" ht="44.4" hidden="1" customHeight="1" x14ac:dyDescent="0.3">
      <c r="A389" s="173"/>
      <c r="B389" s="173">
        <v>36</v>
      </c>
      <c r="C389" s="193" t="s">
        <v>679</v>
      </c>
      <c r="D389" s="185" t="s">
        <v>643</v>
      </c>
      <c r="E389" s="207"/>
      <c r="F389" s="177" t="s">
        <v>765</v>
      </c>
      <c r="G389" s="464"/>
      <c r="H389" s="181"/>
      <c r="I389" s="182"/>
      <c r="J389" s="185"/>
      <c r="K389" s="185"/>
      <c r="L389" s="230"/>
      <c r="M389" s="182"/>
      <c r="N389" s="185"/>
      <c r="O389" s="185"/>
      <c r="P389" s="186"/>
      <c r="Q389" s="182"/>
      <c r="R389" s="185"/>
      <c r="S389" s="183"/>
      <c r="T389" s="184"/>
      <c r="U389" s="299"/>
      <c r="V389" s="183"/>
      <c r="W389" s="183"/>
      <c r="X389" s="209"/>
      <c r="Y389" s="441"/>
    </row>
    <row r="390" spans="1:28" ht="44.4" hidden="1" customHeight="1" x14ac:dyDescent="0.3">
      <c r="A390" s="173"/>
      <c r="B390" s="173">
        <v>37</v>
      </c>
      <c r="C390" s="193" t="s">
        <v>680</v>
      </c>
      <c r="D390" s="185" t="s">
        <v>643</v>
      </c>
      <c r="E390" s="207"/>
      <c r="F390" s="177" t="s">
        <v>765</v>
      </c>
      <c r="G390" s="464"/>
      <c r="H390" s="181"/>
      <c r="I390" s="182"/>
      <c r="J390" s="185"/>
      <c r="K390" s="185"/>
      <c r="L390" s="230"/>
      <c r="M390" s="182"/>
      <c r="N390" s="185"/>
      <c r="O390" s="185"/>
      <c r="P390" s="186"/>
      <c r="Q390" s="182"/>
      <c r="R390" s="185"/>
      <c r="S390" s="183"/>
      <c r="T390" s="184"/>
      <c r="U390" s="299"/>
      <c r="V390" s="183"/>
      <c r="W390" s="183"/>
      <c r="X390" s="209"/>
      <c r="Y390" s="441"/>
    </row>
    <row r="391" spans="1:28" ht="44.4" hidden="1" customHeight="1" x14ac:dyDescent="0.3">
      <c r="A391" s="173"/>
      <c r="B391" s="173">
        <v>38</v>
      </c>
      <c r="C391" s="193" t="s">
        <v>681</v>
      </c>
      <c r="D391" s="185" t="s">
        <v>643</v>
      </c>
      <c r="E391" s="207"/>
      <c r="F391" s="177" t="s">
        <v>765</v>
      </c>
      <c r="G391" s="464"/>
      <c r="H391" s="181"/>
      <c r="I391" s="182"/>
      <c r="J391" s="185"/>
      <c r="K391" s="185"/>
      <c r="L391" s="230"/>
      <c r="M391" s="182"/>
      <c r="N391" s="185"/>
      <c r="O391" s="185"/>
      <c r="P391" s="186"/>
      <c r="Q391" s="182"/>
      <c r="R391" s="185"/>
      <c r="S391" s="183"/>
      <c r="T391" s="184"/>
      <c r="U391" s="299"/>
      <c r="V391" s="183"/>
      <c r="W391" s="183"/>
      <c r="X391" s="209"/>
      <c r="Y391" s="441"/>
    </row>
    <row r="392" spans="1:28" ht="44.4" hidden="1" customHeight="1" x14ac:dyDescent="0.3">
      <c r="A392" s="173"/>
      <c r="B392" s="173">
        <v>39</v>
      </c>
      <c r="C392" s="193" t="s">
        <v>682</v>
      </c>
      <c r="D392" s="185" t="s">
        <v>643</v>
      </c>
      <c r="E392" s="207"/>
      <c r="F392" s="177" t="s">
        <v>765</v>
      </c>
      <c r="G392" s="464"/>
      <c r="H392" s="181"/>
      <c r="I392" s="182"/>
      <c r="J392" s="185"/>
      <c r="K392" s="185"/>
      <c r="L392" s="230"/>
      <c r="M392" s="182"/>
      <c r="N392" s="185"/>
      <c r="O392" s="185"/>
      <c r="P392" s="186"/>
      <c r="Q392" s="182"/>
      <c r="R392" s="185"/>
      <c r="S392" s="183"/>
      <c r="T392" s="184"/>
      <c r="U392" s="299"/>
      <c r="V392" s="183"/>
      <c r="W392" s="183"/>
      <c r="X392" s="209"/>
      <c r="Y392" s="441"/>
    </row>
    <row r="393" spans="1:28" ht="44.4" hidden="1" customHeight="1" x14ac:dyDescent="0.3">
      <c r="A393" s="173"/>
      <c r="B393" s="173">
        <v>40</v>
      </c>
      <c r="C393" s="193" t="s">
        <v>683</v>
      </c>
      <c r="D393" s="185" t="s">
        <v>643</v>
      </c>
      <c r="E393" s="207"/>
      <c r="F393" s="177" t="s">
        <v>765</v>
      </c>
      <c r="G393" s="464"/>
      <c r="H393" s="181"/>
      <c r="I393" s="182"/>
      <c r="J393" s="185"/>
      <c r="K393" s="185"/>
      <c r="L393" s="230"/>
      <c r="M393" s="182"/>
      <c r="N393" s="185"/>
      <c r="O393" s="185"/>
      <c r="P393" s="186"/>
      <c r="Q393" s="182"/>
      <c r="R393" s="185"/>
      <c r="S393" s="183"/>
      <c r="T393" s="184"/>
      <c r="U393" s="299"/>
      <c r="V393" s="183"/>
      <c r="W393" s="183"/>
      <c r="X393" s="209"/>
      <c r="Y393" s="441"/>
    </row>
    <row r="394" spans="1:28" ht="44.4" hidden="1" customHeight="1" x14ac:dyDescent="0.3">
      <c r="A394" s="173"/>
      <c r="B394" s="173">
        <v>41</v>
      </c>
      <c r="C394" s="193" t="s">
        <v>684</v>
      </c>
      <c r="D394" s="185" t="s">
        <v>643</v>
      </c>
      <c r="E394" s="207"/>
      <c r="F394" s="177" t="s">
        <v>765</v>
      </c>
      <c r="G394" s="464"/>
      <c r="H394" s="181"/>
      <c r="I394" s="182"/>
      <c r="J394" s="185"/>
      <c r="K394" s="185"/>
      <c r="L394" s="230"/>
      <c r="M394" s="182"/>
      <c r="N394" s="185"/>
      <c r="O394" s="185"/>
      <c r="P394" s="186"/>
      <c r="Q394" s="182"/>
      <c r="R394" s="185"/>
      <c r="S394" s="183"/>
      <c r="T394" s="184"/>
      <c r="U394" s="299"/>
      <c r="V394" s="183"/>
      <c r="W394" s="183"/>
      <c r="X394" s="209"/>
      <c r="Y394" s="441"/>
    </row>
    <row r="395" spans="1:28" ht="44.4" hidden="1" customHeight="1" x14ac:dyDescent="0.3">
      <c r="A395" s="173"/>
      <c r="B395" s="173">
        <v>42</v>
      </c>
      <c r="C395" s="193" t="s">
        <v>685</v>
      </c>
      <c r="D395" s="185" t="s">
        <v>643</v>
      </c>
      <c r="E395" s="207"/>
      <c r="F395" s="177" t="s">
        <v>765</v>
      </c>
      <c r="G395" s="464"/>
      <c r="H395" s="181"/>
      <c r="I395" s="182"/>
      <c r="J395" s="185"/>
      <c r="K395" s="185"/>
      <c r="L395" s="230"/>
      <c r="M395" s="182"/>
      <c r="N395" s="185"/>
      <c r="O395" s="185"/>
      <c r="P395" s="186"/>
      <c r="Q395" s="182"/>
      <c r="R395" s="185"/>
      <c r="S395" s="183"/>
      <c r="T395" s="184"/>
      <c r="U395" s="299"/>
      <c r="V395" s="183"/>
      <c r="W395" s="183"/>
      <c r="X395" s="209"/>
      <c r="Y395" s="441"/>
    </row>
    <row r="396" spans="1:28" ht="44.4" hidden="1" customHeight="1" x14ac:dyDescent="0.3">
      <c r="A396" s="173"/>
      <c r="B396" s="173">
        <v>43</v>
      </c>
      <c r="C396" s="193" t="s">
        <v>686</v>
      </c>
      <c r="D396" s="185" t="s">
        <v>643</v>
      </c>
      <c r="E396" s="207"/>
      <c r="F396" s="177" t="s">
        <v>765</v>
      </c>
      <c r="G396" s="464"/>
      <c r="H396" s="181"/>
      <c r="I396" s="182"/>
      <c r="J396" s="185"/>
      <c r="K396" s="185"/>
      <c r="L396" s="230"/>
      <c r="M396" s="182"/>
      <c r="N396" s="185"/>
      <c r="O396" s="185"/>
      <c r="P396" s="186"/>
      <c r="Q396" s="182"/>
      <c r="R396" s="185"/>
      <c r="S396" s="183"/>
      <c r="T396" s="184"/>
      <c r="U396" s="299"/>
      <c r="V396" s="183"/>
      <c r="W396" s="183"/>
      <c r="X396" s="209"/>
      <c r="Y396" s="441"/>
    </row>
    <row r="397" spans="1:28" ht="44.4" hidden="1" customHeight="1" x14ac:dyDescent="0.3">
      <c r="A397" s="173"/>
      <c r="B397" s="173">
        <v>44</v>
      </c>
      <c r="C397" s="193" t="s">
        <v>687</v>
      </c>
      <c r="D397" s="185" t="s">
        <v>643</v>
      </c>
      <c r="E397" s="207"/>
      <c r="F397" s="177" t="s">
        <v>765</v>
      </c>
      <c r="G397" s="464"/>
      <c r="H397" s="181"/>
      <c r="I397" s="182"/>
      <c r="J397" s="185"/>
      <c r="K397" s="185"/>
      <c r="L397" s="230"/>
      <c r="M397" s="182"/>
      <c r="N397" s="185"/>
      <c r="O397" s="185"/>
      <c r="P397" s="186"/>
      <c r="Q397" s="182"/>
      <c r="R397" s="185"/>
      <c r="S397" s="183"/>
      <c r="T397" s="184"/>
      <c r="U397" s="299"/>
      <c r="V397" s="183"/>
      <c r="W397" s="183"/>
      <c r="X397" s="209"/>
      <c r="Y397" s="441"/>
    </row>
    <row r="398" spans="1:28" ht="44.4" hidden="1" customHeight="1" x14ac:dyDescent="0.3">
      <c r="A398" s="173"/>
      <c r="B398" s="173">
        <v>45</v>
      </c>
      <c r="C398" s="193" t="s">
        <v>688</v>
      </c>
      <c r="D398" s="185" t="s">
        <v>643</v>
      </c>
      <c r="E398" s="207"/>
      <c r="F398" s="177" t="s">
        <v>765</v>
      </c>
      <c r="G398" s="464"/>
      <c r="H398" s="181"/>
      <c r="I398" s="182"/>
      <c r="J398" s="185"/>
      <c r="K398" s="185"/>
      <c r="L398" s="230"/>
      <c r="M398" s="182"/>
      <c r="N398" s="185"/>
      <c r="O398" s="185"/>
      <c r="P398" s="186"/>
      <c r="Q398" s="182"/>
      <c r="R398" s="185"/>
      <c r="S398" s="183"/>
      <c r="T398" s="184"/>
      <c r="U398" s="299"/>
      <c r="V398" s="183"/>
      <c r="W398" s="183"/>
      <c r="X398" s="209"/>
      <c r="Y398" s="441"/>
    </row>
    <row r="399" spans="1:28" ht="32.25" customHeight="1" thickBot="1" x14ac:dyDescent="0.35">
      <c r="A399" s="367"/>
      <c r="B399" s="368" t="s">
        <v>479</v>
      </c>
      <c r="C399" s="368" t="s">
        <v>283</v>
      </c>
      <c r="D399" s="369" t="s">
        <v>689</v>
      </c>
      <c r="E399" s="382"/>
      <c r="F399" s="391">
        <v>46218</v>
      </c>
      <c r="G399" s="367"/>
      <c r="H399" s="371"/>
      <c r="I399" s="392"/>
      <c r="J399" s="392"/>
      <c r="K399" s="392"/>
      <c r="L399" s="393"/>
      <c r="M399" s="394"/>
      <c r="N399" s="392"/>
      <c r="O399" s="392"/>
      <c r="P399" s="395"/>
      <c r="Q399" s="394"/>
      <c r="R399" s="392"/>
      <c r="S399" s="392"/>
      <c r="T399" s="395"/>
      <c r="U399" s="377"/>
      <c r="V399" s="371"/>
      <c r="W399" s="371"/>
      <c r="X399" s="375"/>
      <c r="Y399" s="378"/>
      <c r="Z399" s="149"/>
      <c r="AA399" s="149"/>
      <c r="AB399" s="148"/>
    </row>
    <row r="400" spans="1:28" ht="342.75" customHeight="1" x14ac:dyDescent="0.3">
      <c r="A400" s="173">
        <v>247</v>
      </c>
      <c r="B400" s="217">
        <v>1</v>
      </c>
      <c r="C400" s="188" t="s">
        <v>724</v>
      </c>
      <c r="D400" s="265" t="s">
        <v>725</v>
      </c>
      <c r="E400" s="396" t="s">
        <v>1104</v>
      </c>
      <c r="F400" s="177"/>
      <c r="G400" s="173"/>
      <c r="H400" s="230"/>
      <c r="I400" s="300"/>
      <c r="J400" s="301"/>
      <c r="K400" s="301"/>
      <c r="L400" s="307"/>
      <c r="M400" s="300"/>
      <c r="N400" s="301"/>
      <c r="O400" s="301"/>
      <c r="P400" s="302"/>
      <c r="Q400" s="300"/>
      <c r="R400" s="301"/>
      <c r="S400" s="316"/>
      <c r="T400" s="317"/>
      <c r="U400" s="299"/>
      <c r="V400" s="183"/>
      <c r="W400" s="183"/>
      <c r="X400" s="209"/>
      <c r="Y400" s="193"/>
      <c r="Z400" s="149"/>
      <c r="AA400" s="149"/>
      <c r="AB400" s="148"/>
    </row>
    <row r="401" spans="1:28" ht="150.75" customHeight="1" x14ac:dyDescent="0.3">
      <c r="A401" s="173">
        <v>248</v>
      </c>
      <c r="B401" s="217">
        <v>2</v>
      </c>
      <c r="C401" s="188" t="s">
        <v>726</v>
      </c>
      <c r="D401" s="265" t="s">
        <v>727</v>
      </c>
      <c r="E401" s="396" t="s">
        <v>1105</v>
      </c>
      <c r="F401" s="177" t="s">
        <v>764</v>
      </c>
      <c r="G401" s="173"/>
      <c r="H401" s="230"/>
      <c r="I401" s="182"/>
      <c r="J401" s="185"/>
      <c r="K401" s="185"/>
      <c r="L401" s="230"/>
      <c r="M401" s="182"/>
      <c r="N401" s="185"/>
      <c r="O401" s="185"/>
      <c r="P401" s="184"/>
      <c r="Q401" s="189"/>
      <c r="R401" s="183"/>
      <c r="S401" s="185"/>
      <c r="T401" s="186"/>
      <c r="U401" s="298"/>
      <c r="V401" s="185"/>
      <c r="W401" s="185"/>
      <c r="X401" s="230"/>
      <c r="Y401" s="204" t="s">
        <v>795</v>
      </c>
      <c r="Z401" s="149"/>
      <c r="AA401" s="149"/>
      <c r="AB401" s="148"/>
    </row>
    <row r="402" spans="1:28" ht="137.25" customHeight="1" x14ac:dyDescent="0.3">
      <c r="A402" s="357">
        <v>249</v>
      </c>
      <c r="B402" s="217">
        <v>3</v>
      </c>
      <c r="C402" s="188" t="s">
        <v>728</v>
      </c>
      <c r="D402" s="218"/>
      <c r="E402" s="396" t="s">
        <v>1106</v>
      </c>
      <c r="F402" s="177" t="s">
        <v>764</v>
      </c>
      <c r="G402" s="173"/>
      <c r="H402" s="230"/>
      <c r="I402" s="182"/>
      <c r="J402" s="185"/>
      <c r="K402" s="185"/>
      <c r="L402" s="230"/>
      <c r="M402" s="182"/>
      <c r="N402" s="185"/>
      <c r="O402" s="185"/>
      <c r="P402" s="184"/>
      <c r="Q402" s="189"/>
      <c r="R402" s="183"/>
      <c r="S402" s="185"/>
      <c r="T402" s="186"/>
      <c r="U402" s="298"/>
      <c r="V402" s="185"/>
      <c r="W402" s="185"/>
      <c r="X402" s="230"/>
      <c r="Y402" s="204" t="s">
        <v>1108</v>
      </c>
      <c r="Z402" s="149"/>
      <c r="AA402" s="149"/>
      <c r="AB402" s="148"/>
    </row>
    <row r="403" spans="1:28" ht="39.6" customHeight="1" x14ac:dyDescent="0.3">
      <c r="A403" s="357">
        <v>250</v>
      </c>
      <c r="B403" s="217">
        <v>4</v>
      </c>
      <c r="C403" s="188" t="s">
        <v>729</v>
      </c>
      <c r="D403" s="218"/>
      <c r="E403" s="396" t="s">
        <v>1112</v>
      </c>
      <c r="F403" s="177"/>
      <c r="G403" s="173"/>
      <c r="H403" s="230"/>
      <c r="I403" s="182"/>
      <c r="J403" s="185"/>
      <c r="K403" s="185"/>
      <c r="L403" s="230"/>
      <c r="M403" s="182"/>
      <c r="N403" s="185"/>
      <c r="O403" s="185"/>
      <c r="P403" s="186"/>
      <c r="Q403" s="182"/>
      <c r="R403" s="185"/>
      <c r="S403" s="183"/>
      <c r="T403" s="184"/>
      <c r="U403" s="299"/>
      <c r="V403" s="183"/>
      <c r="W403" s="183"/>
      <c r="X403" s="209"/>
      <c r="Y403" s="199" t="s">
        <v>1113</v>
      </c>
      <c r="Z403" s="149"/>
      <c r="AA403" s="149"/>
      <c r="AB403" s="148"/>
    </row>
    <row r="404" spans="1:28" ht="39.6" customHeight="1" x14ac:dyDescent="0.3">
      <c r="A404" s="357">
        <v>251</v>
      </c>
      <c r="B404" s="217">
        <v>5</v>
      </c>
      <c r="C404" s="188" t="s">
        <v>730</v>
      </c>
      <c r="D404" s="218"/>
      <c r="E404" s="396" t="s">
        <v>1112</v>
      </c>
      <c r="F404" s="177"/>
      <c r="G404" s="173"/>
      <c r="H404" s="230"/>
      <c r="I404" s="182"/>
      <c r="J404" s="185"/>
      <c r="K404" s="185"/>
      <c r="L404" s="230"/>
      <c r="M404" s="182"/>
      <c r="N404" s="185"/>
      <c r="O404" s="185"/>
      <c r="P404" s="186"/>
      <c r="Q404" s="182"/>
      <c r="R404" s="185"/>
      <c r="S404" s="183"/>
      <c r="T404" s="184"/>
      <c r="U404" s="299"/>
      <c r="V404" s="183"/>
      <c r="W404" s="183"/>
      <c r="X404" s="209"/>
      <c r="Y404" s="199" t="s">
        <v>1113</v>
      </c>
      <c r="Z404" s="149"/>
      <c r="AA404" s="149"/>
      <c r="AB404" s="148"/>
    </row>
    <row r="405" spans="1:28" ht="147.75" customHeight="1" x14ac:dyDescent="0.3">
      <c r="A405" s="357">
        <v>252</v>
      </c>
      <c r="B405" s="217">
        <v>6</v>
      </c>
      <c r="C405" s="188" t="s">
        <v>731</v>
      </c>
      <c r="D405" s="218"/>
      <c r="E405" s="396" t="s">
        <v>1106</v>
      </c>
      <c r="F405" s="177" t="s">
        <v>764</v>
      </c>
      <c r="G405" s="173"/>
      <c r="H405" s="230"/>
      <c r="I405" s="182"/>
      <c r="J405" s="185"/>
      <c r="K405" s="185"/>
      <c r="L405" s="230"/>
      <c r="M405" s="182"/>
      <c r="N405" s="185"/>
      <c r="O405" s="185"/>
      <c r="P405" s="184"/>
      <c r="Q405" s="189"/>
      <c r="R405" s="183"/>
      <c r="S405" s="185"/>
      <c r="T405" s="186"/>
      <c r="U405" s="298"/>
      <c r="V405" s="185"/>
      <c r="W405" s="185"/>
      <c r="X405" s="230"/>
      <c r="Y405" s="204" t="s">
        <v>1108</v>
      </c>
      <c r="Z405" s="315"/>
      <c r="AA405" s="149"/>
      <c r="AB405" s="148"/>
    </row>
    <row r="406" spans="1:28" ht="146.25" customHeight="1" x14ac:dyDescent="0.3">
      <c r="A406" s="357">
        <v>253</v>
      </c>
      <c r="B406" s="217">
        <v>7</v>
      </c>
      <c r="C406" s="188" t="s">
        <v>732</v>
      </c>
      <c r="D406" s="218"/>
      <c r="E406" s="396" t="s">
        <v>1106</v>
      </c>
      <c r="F406" s="177" t="s">
        <v>764</v>
      </c>
      <c r="G406" s="173"/>
      <c r="H406" s="230"/>
      <c r="I406" s="182"/>
      <c r="J406" s="185"/>
      <c r="K406" s="185"/>
      <c r="L406" s="230"/>
      <c r="M406" s="182"/>
      <c r="N406" s="185"/>
      <c r="O406" s="185"/>
      <c r="P406" s="184"/>
      <c r="Q406" s="189"/>
      <c r="R406" s="183"/>
      <c r="S406" s="185"/>
      <c r="T406" s="186"/>
      <c r="U406" s="298"/>
      <c r="V406" s="185"/>
      <c r="W406" s="185"/>
      <c r="X406" s="230"/>
      <c r="Y406" s="204" t="s">
        <v>1108</v>
      </c>
      <c r="Z406" s="149"/>
      <c r="AA406" s="149"/>
      <c r="AB406" s="148"/>
    </row>
    <row r="407" spans="1:28" ht="31.2" x14ac:dyDescent="0.3">
      <c r="A407" s="357">
        <v>254</v>
      </c>
      <c r="B407" s="217">
        <v>8</v>
      </c>
      <c r="C407" s="188" t="s">
        <v>733</v>
      </c>
      <c r="D407" s="218"/>
      <c r="E407" s="396" t="s">
        <v>1107</v>
      </c>
      <c r="F407" s="177" t="s">
        <v>1115</v>
      </c>
      <c r="G407" s="173"/>
      <c r="H407" s="230"/>
      <c r="I407" s="182"/>
      <c r="J407" s="185"/>
      <c r="K407" s="185"/>
      <c r="L407" s="230"/>
      <c r="M407" s="182"/>
      <c r="N407" s="185"/>
      <c r="O407" s="185"/>
      <c r="P407" s="186"/>
      <c r="Q407" s="189"/>
      <c r="R407" s="183"/>
      <c r="S407" s="183"/>
      <c r="T407" s="184"/>
      <c r="U407" s="299"/>
      <c r="V407" s="183"/>
      <c r="W407" s="183"/>
      <c r="X407" s="209"/>
      <c r="Y407" s="204" t="s">
        <v>1111</v>
      </c>
      <c r="Z407" s="149"/>
      <c r="AA407" s="149"/>
      <c r="AB407" s="148"/>
    </row>
    <row r="408" spans="1:28" ht="31.2" x14ac:dyDescent="0.3">
      <c r="A408" s="357">
        <v>255</v>
      </c>
      <c r="B408" s="217">
        <v>9</v>
      </c>
      <c r="C408" s="188" t="s">
        <v>734</v>
      </c>
      <c r="D408" s="218"/>
      <c r="E408" s="396" t="s">
        <v>1110</v>
      </c>
      <c r="F408" s="177"/>
      <c r="G408" s="173"/>
      <c r="H408" s="230"/>
      <c r="I408" s="182"/>
      <c r="J408" s="185"/>
      <c r="K408" s="185"/>
      <c r="L408" s="230"/>
      <c r="M408" s="182"/>
      <c r="N408" s="185"/>
      <c r="O408" s="185"/>
      <c r="P408" s="186"/>
      <c r="Q408" s="182"/>
      <c r="R408" s="183"/>
      <c r="S408" s="183"/>
      <c r="T408" s="184"/>
      <c r="U408" s="299"/>
      <c r="V408" s="183"/>
      <c r="W408" s="183"/>
      <c r="X408" s="209"/>
      <c r="Y408" s="193"/>
      <c r="Z408" s="149"/>
      <c r="AA408" s="149"/>
      <c r="AB408" s="148"/>
    </row>
    <row r="409" spans="1:28" ht="31.2" x14ac:dyDescent="0.3">
      <c r="A409" s="357">
        <v>256</v>
      </c>
      <c r="B409" s="217">
        <v>10</v>
      </c>
      <c r="C409" s="188" t="s">
        <v>735</v>
      </c>
      <c r="D409" s="218"/>
      <c r="E409" s="396" t="s">
        <v>1110</v>
      </c>
      <c r="F409" s="177"/>
      <c r="G409" s="173"/>
      <c r="H409" s="230"/>
      <c r="I409" s="182"/>
      <c r="J409" s="185"/>
      <c r="K409" s="185"/>
      <c r="L409" s="230"/>
      <c r="M409" s="182"/>
      <c r="N409" s="185"/>
      <c r="O409" s="185"/>
      <c r="P409" s="186"/>
      <c r="Q409" s="182"/>
      <c r="R409" s="183"/>
      <c r="S409" s="183"/>
      <c r="T409" s="184"/>
      <c r="U409" s="299"/>
      <c r="V409" s="183"/>
      <c r="W409" s="183"/>
      <c r="X409" s="209"/>
      <c r="Y409" s="193"/>
      <c r="Z409" s="149"/>
      <c r="AA409" s="149"/>
      <c r="AB409" s="148"/>
    </row>
    <row r="410" spans="1:28" ht="31.2" x14ac:dyDescent="0.3">
      <c r="A410" s="357">
        <v>257</v>
      </c>
      <c r="B410" s="217">
        <v>11</v>
      </c>
      <c r="C410" s="188" t="s">
        <v>736</v>
      </c>
      <c r="D410" s="218"/>
      <c r="E410" s="396" t="s">
        <v>1110</v>
      </c>
      <c r="F410" s="177"/>
      <c r="G410" s="173"/>
      <c r="H410" s="230"/>
      <c r="I410" s="182"/>
      <c r="J410" s="185"/>
      <c r="K410" s="185"/>
      <c r="L410" s="230"/>
      <c r="M410" s="182"/>
      <c r="N410" s="185"/>
      <c r="O410" s="185"/>
      <c r="P410" s="186"/>
      <c r="Q410" s="182"/>
      <c r="R410" s="183"/>
      <c r="S410" s="183"/>
      <c r="T410" s="184"/>
      <c r="U410" s="299"/>
      <c r="V410" s="183"/>
      <c r="W410" s="183"/>
      <c r="X410" s="209"/>
      <c r="Y410" s="193"/>
      <c r="Z410" s="149"/>
      <c r="AA410" s="149"/>
      <c r="AB410" s="148"/>
    </row>
    <row r="411" spans="1:28" ht="31.2" x14ac:dyDescent="0.3">
      <c r="A411" s="357">
        <v>258</v>
      </c>
      <c r="B411" s="217">
        <v>12</v>
      </c>
      <c r="C411" s="188" t="s">
        <v>737</v>
      </c>
      <c r="D411" s="218"/>
      <c r="E411" s="396" t="s">
        <v>1110</v>
      </c>
      <c r="F411" s="177"/>
      <c r="G411" s="173"/>
      <c r="H411" s="230"/>
      <c r="I411" s="182"/>
      <c r="J411" s="185"/>
      <c r="K411" s="185"/>
      <c r="L411" s="230"/>
      <c r="M411" s="182"/>
      <c r="N411" s="185"/>
      <c r="O411" s="185"/>
      <c r="P411" s="186"/>
      <c r="Q411" s="182"/>
      <c r="R411" s="183"/>
      <c r="S411" s="183"/>
      <c r="T411" s="184"/>
      <c r="U411" s="299"/>
      <c r="V411" s="183"/>
      <c r="W411" s="183"/>
      <c r="X411" s="209"/>
      <c r="Y411" s="193"/>
      <c r="Z411" s="149"/>
      <c r="AA411" s="149"/>
      <c r="AB411" s="148"/>
    </row>
    <row r="412" spans="1:28" ht="31.2" x14ac:dyDescent="0.3">
      <c r="A412" s="357">
        <v>259</v>
      </c>
      <c r="B412" s="217">
        <v>13</v>
      </c>
      <c r="C412" s="188" t="s">
        <v>738</v>
      </c>
      <c r="D412" s="218"/>
      <c r="E412" s="396" t="s">
        <v>1110</v>
      </c>
      <c r="F412" s="177"/>
      <c r="G412" s="173"/>
      <c r="H412" s="230"/>
      <c r="I412" s="182"/>
      <c r="J412" s="185"/>
      <c r="K412" s="185"/>
      <c r="L412" s="230"/>
      <c r="M412" s="182"/>
      <c r="N412" s="185"/>
      <c r="O412" s="185"/>
      <c r="P412" s="186"/>
      <c r="Q412" s="182"/>
      <c r="R412" s="183"/>
      <c r="S412" s="183"/>
      <c r="T412" s="184"/>
      <c r="U412" s="299"/>
      <c r="V412" s="183"/>
      <c r="W412" s="183"/>
      <c r="X412" s="209"/>
      <c r="Y412" s="193"/>
      <c r="Z412" s="149"/>
      <c r="AA412" s="149"/>
      <c r="AB412" s="148"/>
    </row>
    <row r="413" spans="1:28" ht="31.2" x14ac:dyDescent="0.3">
      <c r="A413" s="357">
        <v>260</v>
      </c>
      <c r="B413" s="217">
        <v>14</v>
      </c>
      <c r="C413" s="188" t="s">
        <v>739</v>
      </c>
      <c r="D413" s="218"/>
      <c r="E413" s="396" t="s">
        <v>1110</v>
      </c>
      <c r="F413" s="177"/>
      <c r="G413" s="173"/>
      <c r="H413" s="230"/>
      <c r="I413" s="182"/>
      <c r="J413" s="185"/>
      <c r="K413" s="185"/>
      <c r="L413" s="230"/>
      <c r="M413" s="182"/>
      <c r="N413" s="185"/>
      <c r="O413" s="185"/>
      <c r="P413" s="186"/>
      <c r="Q413" s="182"/>
      <c r="R413" s="183"/>
      <c r="S413" s="183"/>
      <c r="T413" s="184"/>
      <c r="U413" s="299"/>
      <c r="V413" s="183"/>
      <c r="W413" s="183"/>
      <c r="X413" s="209"/>
      <c r="Y413" s="193"/>
      <c r="Z413" s="149"/>
      <c r="AA413" s="149"/>
      <c r="AB413" s="148"/>
    </row>
    <row r="414" spans="1:28" ht="31.2" x14ac:dyDescent="0.3">
      <c r="A414" s="357">
        <v>261</v>
      </c>
      <c r="B414" s="217">
        <v>15</v>
      </c>
      <c r="C414" s="188" t="s">
        <v>740</v>
      </c>
      <c r="D414" s="218"/>
      <c r="E414" s="396" t="s">
        <v>1110</v>
      </c>
      <c r="F414" s="177"/>
      <c r="G414" s="173"/>
      <c r="H414" s="230"/>
      <c r="I414" s="182"/>
      <c r="J414" s="185"/>
      <c r="K414" s="185"/>
      <c r="L414" s="230"/>
      <c r="M414" s="182"/>
      <c r="N414" s="185"/>
      <c r="O414" s="185"/>
      <c r="P414" s="186"/>
      <c r="Q414" s="182"/>
      <c r="R414" s="183"/>
      <c r="S414" s="183"/>
      <c r="T414" s="184"/>
      <c r="U414" s="299"/>
      <c r="V414" s="183"/>
      <c r="W414" s="183"/>
      <c r="X414" s="209"/>
      <c r="Y414" s="193"/>
      <c r="Z414" s="149"/>
      <c r="AA414" s="149"/>
      <c r="AB414" s="148"/>
    </row>
    <row r="415" spans="1:28" ht="31.2" x14ac:dyDescent="0.3">
      <c r="A415" s="357">
        <v>262</v>
      </c>
      <c r="B415" s="217">
        <v>16</v>
      </c>
      <c r="C415" s="188" t="s">
        <v>741</v>
      </c>
      <c r="D415" s="218"/>
      <c r="E415" s="396" t="s">
        <v>1110</v>
      </c>
      <c r="F415" s="177"/>
      <c r="G415" s="173"/>
      <c r="H415" s="230"/>
      <c r="I415" s="182"/>
      <c r="J415" s="185"/>
      <c r="K415" s="185"/>
      <c r="L415" s="230"/>
      <c r="M415" s="182"/>
      <c r="N415" s="185"/>
      <c r="O415" s="185"/>
      <c r="P415" s="186"/>
      <c r="Q415" s="182"/>
      <c r="R415" s="183"/>
      <c r="S415" s="183"/>
      <c r="T415" s="184"/>
      <c r="U415" s="299"/>
      <c r="V415" s="183"/>
      <c r="W415" s="183"/>
      <c r="X415" s="209"/>
      <c r="Y415" s="193"/>
      <c r="Z415" s="149"/>
      <c r="AA415" s="149"/>
      <c r="AB415" s="148"/>
    </row>
    <row r="416" spans="1:28" ht="31.2" x14ac:dyDescent="0.3">
      <c r="A416" s="357">
        <v>263</v>
      </c>
      <c r="B416" s="217">
        <v>17</v>
      </c>
      <c r="C416" s="188" t="s">
        <v>742</v>
      </c>
      <c r="D416" s="218"/>
      <c r="E416" s="396" t="s">
        <v>1110</v>
      </c>
      <c r="F416" s="177"/>
      <c r="G416" s="173"/>
      <c r="H416" s="230"/>
      <c r="I416" s="182"/>
      <c r="J416" s="185"/>
      <c r="K416" s="185"/>
      <c r="L416" s="230"/>
      <c r="M416" s="182"/>
      <c r="N416" s="185"/>
      <c r="O416" s="185"/>
      <c r="P416" s="186"/>
      <c r="Q416" s="182"/>
      <c r="R416" s="183"/>
      <c r="S416" s="183"/>
      <c r="T416" s="184"/>
      <c r="U416" s="299"/>
      <c r="V416" s="183"/>
      <c r="W416" s="183"/>
      <c r="X416" s="209"/>
      <c r="Y416" s="193"/>
      <c r="Z416" s="149"/>
      <c r="AA416" s="149"/>
      <c r="AB416" s="148"/>
    </row>
    <row r="417" spans="1:28" ht="31.2" x14ac:dyDescent="0.3">
      <c r="A417" s="357">
        <v>264</v>
      </c>
      <c r="B417" s="217">
        <v>18</v>
      </c>
      <c r="C417" s="188" t="s">
        <v>743</v>
      </c>
      <c r="D417" s="218"/>
      <c r="E417" s="396" t="s">
        <v>1110</v>
      </c>
      <c r="F417" s="177"/>
      <c r="G417" s="173"/>
      <c r="H417" s="230"/>
      <c r="I417" s="182"/>
      <c r="J417" s="185"/>
      <c r="K417" s="185"/>
      <c r="L417" s="230"/>
      <c r="M417" s="182"/>
      <c r="N417" s="185"/>
      <c r="O417" s="185"/>
      <c r="P417" s="186"/>
      <c r="Q417" s="182"/>
      <c r="R417" s="183"/>
      <c r="S417" s="183"/>
      <c r="T417" s="184"/>
      <c r="U417" s="299"/>
      <c r="V417" s="183"/>
      <c r="W417" s="183"/>
      <c r="X417" s="209"/>
      <c r="Y417" s="193"/>
      <c r="Z417" s="149"/>
      <c r="AA417" s="149"/>
      <c r="AB417" s="148"/>
    </row>
    <row r="418" spans="1:28" ht="31.2" x14ac:dyDescent="0.3">
      <c r="A418" s="357">
        <v>265</v>
      </c>
      <c r="B418" s="217">
        <v>19</v>
      </c>
      <c r="C418" s="188" t="s">
        <v>744</v>
      </c>
      <c r="D418" s="218"/>
      <c r="E418" s="396" t="s">
        <v>1110</v>
      </c>
      <c r="F418" s="177"/>
      <c r="G418" s="173"/>
      <c r="H418" s="230"/>
      <c r="I418" s="182"/>
      <c r="J418" s="185"/>
      <c r="K418" s="185"/>
      <c r="L418" s="230"/>
      <c r="M418" s="182"/>
      <c r="N418" s="185"/>
      <c r="O418" s="185"/>
      <c r="P418" s="186"/>
      <c r="Q418" s="182"/>
      <c r="R418" s="183"/>
      <c r="S418" s="183"/>
      <c r="T418" s="184"/>
      <c r="U418" s="299"/>
      <c r="V418" s="183"/>
      <c r="W418" s="183"/>
      <c r="X418" s="209"/>
      <c r="Y418" s="193"/>
      <c r="Z418" s="149"/>
      <c r="AA418" s="149"/>
      <c r="AB418" s="148"/>
    </row>
    <row r="419" spans="1:28" ht="31.2" x14ac:dyDescent="0.3">
      <c r="A419" s="357">
        <v>266</v>
      </c>
      <c r="B419" s="217">
        <v>20</v>
      </c>
      <c r="C419" s="188" t="s">
        <v>745</v>
      </c>
      <c r="D419" s="218"/>
      <c r="E419" s="396" t="s">
        <v>1110</v>
      </c>
      <c r="F419" s="177"/>
      <c r="G419" s="173"/>
      <c r="H419" s="230"/>
      <c r="I419" s="182"/>
      <c r="J419" s="185"/>
      <c r="K419" s="185"/>
      <c r="L419" s="230"/>
      <c r="M419" s="182"/>
      <c r="N419" s="185"/>
      <c r="O419" s="185"/>
      <c r="P419" s="186"/>
      <c r="Q419" s="182"/>
      <c r="R419" s="183"/>
      <c r="S419" s="183"/>
      <c r="T419" s="184"/>
      <c r="U419" s="299"/>
      <c r="V419" s="183"/>
      <c r="W419" s="183"/>
      <c r="X419" s="209"/>
      <c r="Y419" s="193"/>
      <c r="Z419" s="149"/>
      <c r="AA419" s="149"/>
      <c r="AB419" s="148"/>
    </row>
    <row r="420" spans="1:28" ht="31.2" x14ac:dyDescent="0.3">
      <c r="A420" s="357">
        <v>267</v>
      </c>
      <c r="B420" s="217">
        <v>21</v>
      </c>
      <c r="C420" s="188" t="s">
        <v>736</v>
      </c>
      <c r="D420" s="218"/>
      <c r="E420" s="396" t="s">
        <v>1110</v>
      </c>
      <c r="F420" s="177"/>
      <c r="G420" s="173"/>
      <c r="H420" s="230"/>
      <c r="I420" s="182"/>
      <c r="J420" s="185"/>
      <c r="K420" s="185"/>
      <c r="L420" s="230"/>
      <c r="M420" s="182"/>
      <c r="N420" s="185"/>
      <c r="O420" s="185"/>
      <c r="P420" s="186"/>
      <c r="Q420" s="182"/>
      <c r="R420" s="183"/>
      <c r="S420" s="183"/>
      <c r="T420" s="184"/>
      <c r="U420" s="299"/>
      <c r="V420" s="183"/>
      <c r="W420" s="183"/>
      <c r="X420" s="209"/>
      <c r="Y420" s="193"/>
      <c r="Z420" s="149"/>
      <c r="AA420" s="149"/>
      <c r="AB420" s="148"/>
    </row>
    <row r="421" spans="1:28" ht="149.25" customHeight="1" x14ac:dyDescent="0.3">
      <c r="A421" s="357">
        <v>268</v>
      </c>
      <c r="B421" s="217">
        <v>22</v>
      </c>
      <c r="C421" s="188" t="s">
        <v>746</v>
      </c>
      <c r="D421" s="218"/>
      <c r="E421" s="396" t="s">
        <v>1109</v>
      </c>
      <c r="F421" s="356" t="s">
        <v>764</v>
      </c>
      <c r="G421" s="173"/>
      <c r="H421" s="230"/>
      <c r="I421" s="182"/>
      <c r="J421" s="185"/>
      <c r="K421" s="185"/>
      <c r="L421" s="230"/>
      <c r="M421" s="182"/>
      <c r="N421" s="185"/>
      <c r="O421" s="185"/>
      <c r="P421" s="184"/>
      <c r="Q421" s="189"/>
      <c r="R421" s="183"/>
      <c r="S421" s="183"/>
      <c r="T421" s="184"/>
      <c r="U421" s="299"/>
      <c r="V421" s="183"/>
      <c r="W421" s="183"/>
      <c r="X421" s="209"/>
      <c r="Y421" s="204" t="s">
        <v>1114</v>
      </c>
      <c r="Z421" s="149"/>
      <c r="AA421" s="149"/>
      <c r="AB421" s="148"/>
    </row>
    <row r="422" spans="1:28" ht="123" customHeight="1" x14ac:dyDescent="0.3">
      <c r="A422" s="357">
        <v>269</v>
      </c>
      <c r="B422" s="217">
        <v>23</v>
      </c>
      <c r="C422" s="188" t="s">
        <v>747</v>
      </c>
      <c r="D422" s="218"/>
      <c r="E422" s="396" t="s">
        <v>1109</v>
      </c>
      <c r="F422" s="356" t="s">
        <v>764</v>
      </c>
      <c r="G422" s="173"/>
      <c r="H422" s="230"/>
      <c r="I422" s="182"/>
      <c r="J422" s="185"/>
      <c r="K422" s="185"/>
      <c r="L422" s="230"/>
      <c r="M422" s="182"/>
      <c r="N422" s="185"/>
      <c r="O422" s="185"/>
      <c r="P422" s="184"/>
      <c r="Q422" s="189"/>
      <c r="R422" s="183"/>
      <c r="S422" s="183"/>
      <c r="T422" s="184"/>
      <c r="U422" s="299"/>
      <c r="V422" s="183"/>
      <c r="W422" s="183"/>
      <c r="X422" s="209"/>
      <c r="Y422" s="204" t="s">
        <v>1114</v>
      </c>
      <c r="Z422" s="149"/>
      <c r="AA422" s="149"/>
      <c r="AB422" s="148"/>
    </row>
    <row r="423" spans="1:28" ht="31.2" x14ac:dyDescent="0.3">
      <c r="A423" s="367"/>
      <c r="B423" s="389" t="s">
        <v>479</v>
      </c>
      <c r="C423" s="389" t="s">
        <v>283</v>
      </c>
      <c r="D423" s="390" t="s">
        <v>896</v>
      </c>
      <c r="E423" s="382"/>
      <c r="F423" s="391">
        <v>46204</v>
      </c>
      <c r="G423" s="367"/>
      <c r="H423" s="375"/>
      <c r="I423" s="374"/>
      <c r="J423" s="371"/>
      <c r="K423" s="371"/>
      <c r="L423" s="375"/>
      <c r="M423" s="374"/>
      <c r="N423" s="371"/>
      <c r="O423" s="371"/>
      <c r="P423" s="376"/>
      <c r="Q423" s="374"/>
      <c r="R423" s="371"/>
      <c r="S423" s="371"/>
      <c r="T423" s="376"/>
      <c r="U423" s="377"/>
      <c r="V423" s="371"/>
      <c r="W423" s="371"/>
      <c r="X423" s="375"/>
      <c r="Y423" s="378"/>
      <c r="Z423" s="149"/>
      <c r="AA423" s="149"/>
      <c r="AB423" s="148"/>
    </row>
    <row r="424" spans="1:28" ht="30" customHeight="1" x14ac:dyDescent="0.3">
      <c r="A424" s="173">
        <v>267</v>
      </c>
      <c r="B424" s="215">
        <v>1</v>
      </c>
      <c r="C424" s="215"/>
      <c r="D424" s="325" t="s">
        <v>690</v>
      </c>
      <c r="E424" s="207"/>
      <c r="F424" s="178"/>
      <c r="G424" s="173"/>
      <c r="H424" s="230"/>
      <c r="I424" s="182"/>
      <c r="J424" s="185"/>
      <c r="K424" s="185"/>
      <c r="L424" s="230"/>
      <c r="M424" s="182"/>
      <c r="N424" s="185"/>
      <c r="O424" s="185"/>
      <c r="P424" s="186"/>
      <c r="Q424" s="353"/>
      <c r="R424" s="354"/>
      <c r="S424" s="354"/>
      <c r="T424" s="355"/>
      <c r="U424" s="360"/>
      <c r="V424" s="354"/>
      <c r="W424" s="354"/>
      <c r="X424" s="361"/>
      <c r="Y424" s="362" t="s">
        <v>1093</v>
      </c>
      <c r="Z424" s="149"/>
      <c r="AA424" s="149"/>
      <c r="AB424" s="148"/>
    </row>
    <row r="425" spans="1:28" ht="18" customHeight="1" x14ac:dyDescent="0.3">
      <c r="A425" s="173">
        <v>268</v>
      </c>
      <c r="B425" s="215">
        <v>2</v>
      </c>
      <c r="C425" s="215"/>
      <c r="D425" s="216" t="s">
        <v>830</v>
      </c>
      <c r="E425" s="207"/>
      <c r="F425" s="178"/>
      <c r="G425" s="173"/>
      <c r="H425" s="230"/>
      <c r="I425" s="182"/>
      <c r="J425" s="185"/>
      <c r="K425" s="185"/>
      <c r="L425" s="230"/>
      <c r="M425" s="182"/>
      <c r="N425" s="185"/>
      <c r="O425" s="185"/>
      <c r="P425" s="186"/>
      <c r="Q425" s="353"/>
      <c r="R425" s="354"/>
      <c r="S425" s="354"/>
      <c r="T425" s="355"/>
      <c r="U425" s="322"/>
      <c r="V425" s="320"/>
      <c r="W425" s="320"/>
      <c r="X425" s="321"/>
      <c r="Y425" s="193"/>
      <c r="Z425" s="149"/>
      <c r="AA425" s="149"/>
      <c r="AB425" s="148"/>
    </row>
    <row r="426" spans="1:28" x14ac:dyDescent="0.3">
      <c r="A426" s="357">
        <v>269</v>
      </c>
      <c r="B426" s="215">
        <v>3</v>
      </c>
      <c r="C426" s="215"/>
      <c r="D426" s="216" t="s">
        <v>824</v>
      </c>
      <c r="E426" s="207"/>
      <c r="F426" s="178"/>
      <c r="G426" s="173"/>
      <c r="H426" s="230"/>
      <c r="I426" s="182"/>
      <c r="J426" s="185"/>
      <c r="K426" s="185"/>
      <c r="L426" s="230"/>
      <c r="M426" s="182"/>
      <c r="N426" s="185"/>
      <c r="O426" s="185"/>
      <c r="P426" s="186"/>
      <c r="Q426" s="182"/>
      <c r="R426" s="185"/>
      <c r="S426" s="185"/>
      <c r="T426" s="186"/>
      <c r="U426" s="322"/>
      <c r="V426" s="320"/>
      <c r="W426" s="320"/>
      <c r="X426" s="321"/>
      <c r="Y426" s="193"/>
      <c r="Z426" s="149"/>
      <c r="AA426" s="149"/>
      <c r="AB426" s="148"/>
    </row>
    <row r="427" spans="1:28" x14ac:dyDescent="0.3">
      <c r="A427" s="357">
        <v>270</v>
      </c>
      <c r="B427" s="215">
        <v>4</v>
      </c>
      <c r="C427" s="215"/>
      <c r="D427" s="216" t="s">
        <v>828</v>
      </c>
      <c r="E427" s="207"/>
      <c r="F427" s="178"/>
      <c r="G427" s="173"/>
      <c r="H427" s="230"/>
      <c r="I427" s="182"/>
      <c r="J427" s="185"/>
      <c r="K427" s="185"/>
      <c r="L427" s="230"/>
      <c r="M427" s="182"/>
      <c r="N427" s="185"/>
      <c r="O427" s="185"/>
      <c r="P427" s="186"/>
      <c r="Q427" s="182"/>
      <c r="R427" s="185"/>
      <c r="S427" s="185"/>
      <c r="T427" s="186"/>
      <c r="U427" s="322"/>
      <c r="V427" s="320"/>
      <c r="W427" s="320"/>
      <c r="X427" s="321"/>
      <c r="Y427" s="193"/>
      <c r="Z427" s="149"/>
      <c r="AA427" s="149"/>
      <c r="AB427" s="148"/>
    </row>
    <row r="428" spans="1:28" x14ac:dyDescent="0.3">
      <c r="A428" s="357">
        <v>271</v>
      </c>
      <c r="B428" s="215">
        <v>5</v>
      </c>
      <c r="C428" s="215"/>
      <c r="D428" s="216" t="s">
        <v>826</v>
      </c>
      <c r="E428" s="207"/>
      <c r="F428" s="178"/>
      <c r="G428" s="173"/>
      <c r="H428" s="230"/>
      <c r="I428" s="182"/>
      <c r="J428" s="185"/>
      <c r="K428" s="185"/>
      <c r="L428" s="230"/>
      <c r="M428" s="182"/>
      <c r="N428" s="185"/>
      <c r="O428" s="185"/>
      <c r="P428" s="186"/>
      <c r="Q428" s="182"/>
      <c r="R428" s="185"/>
      <c r="S428" s="185"/>
      <c r="T428" s="186"/>
      <c r="U428" s="322"/>
      <c r="V428" s="320"/>
      <c r="W428" s="320"/>
      <c r="X428" s="321"/>
      <c r="Y428" s="193"/>
      <c r="Z428" s="149"/>
      <c r="AA428" s="149"/>
      <c r="AB428" s="148"/>
    </row>
    <row r="429" spans="1:28" x14ac:dyDescent="0.3">
      <c r="A429" s="357">
        <v>272</v>
      </c>
      <c r="B429" s="215">
        <v>6</v>
      </c>
      <c r="C429" s="215"/>
      <c r="D429" s="216" t="s">
        <v>832</v>
      </c>
      <c r="E429" s="207"/>
      <c r="F429" s="178"/>
      <c r="G429" s="173"/>
      <c r="H429" s="230"/>
      <c r="I429" s="182"/>
      <c r="J429" s="185"/>
      <c r="K429" s="185"/>
      <c r="L429" s="230"/>
      <c r="M429" s="182"/>
      <c r="N429" s="185"/>
      <c r="O429" s="185"/>
      <c r="P429" s="186"/>
      <c r="Q429" s="182"/>
      <c r="R429" s="185"/>
      <c r="S429" s="185"/>
      <c r="T429" s="186"/>
      <c r="U429" s="322"/>
      <c r="V429" s="320"/>
      <c r="W429" s="320"/>
      <c r="X429" s="321"/>
      <c r="Y429" s="193"/>
      <c r="Z429" s="149"/>
      <c r="AA429" s="149"/>
      <c r="AB429" s="148"/>
    </row>
    <row r="430" spans="1:28" x14ac:dyDescent="0.3">
      <c r="A430" s="357">
        <v>273</v>
      </c>
      <c r="B430" s="215">
        <v>7</v>
      </c>
      <c r="C430" s="215"/>
      <c r="D430" s="216" t="s">
        <v>833</v>
      </c>
      <c r="E430" s="207"/>
      <c r="F430" s="178"/>
      <c r="G430" s="173"/>
      <c r="H430" s="230"/>
      <c r="I430" s="182"/>
      <c r="J430" s="185"/>
      <c r="K430" s="185"/>
      <c r="L430" s="230"/>
      <c r="M430" s="182"/>
      <c r="N430" s="185"/>
      <c r="O430" s="185"/>
      <c r="P430" s="186"/>
      <c r="Q430" s="182"/>
      <c r="R430" s="185"/>
      <c r="S430" s="185"/>
      <c r="T430" s="186"/>
      <c r="U430" s="322"/>
      <c r="V430" s="320"/>
      <c r="W430" s="320"/>
      <c r="X430" s="321"/>
      <c r="Y430" s="193"/>
      <c r="Z430" s="149"/>
      <c r="AA430" s="149"/>
      <c r="AB430" s="148"/>
    </row>
    <row r="431" spans="1:28" x14ac:dyDescent="0.3">
      <c r="A431" s="357">
        <v>274</v>
      </c>
      <c r="B431" s="215">
        <v>8</v>
      </c>
      <c r="C431" s="215"/>
      <c r="D431" s="216" t="s">
        <v>837</v>
      </c>
      <c r="E431" s="207"/>
      <c r="F431" s="178"/>
      <c r="G431" s="173"/>
      <c r="H431" s="230"/>
      <c r="I431" s="182"/>
      <c r="J431" s="185"/>
      <c r="K431" s="185"/>
      <c r="L431" s="230"/>
      <c r="M431" s="182"/>
      <c r="N431" s="185"/>
      <c r="O431" s="185"/>
      <c r="P431" s="186"/>
      <c r="Q431" s="182"/>
      <c r="R431" s="185"/>
      <c r="S431" s="185"/>
      <c r="T431" s="186"/>
      <c r="U431" s="322"/>
      <c r="V431" s="320"/>
      <c r="W431" s="320"/>
      <c r="X431" s="321"/>
      <c r="Y431" s="193"/>
      <c r="Z431" s="149"/>
      <c r="AA431" s="149"/>
      <c r="AB431" s="148"/>
    </row>
    <row r="432" spans="1:28" x14ac:dyDescent="0.3">
      <c r="A432" s="357">
        <v>275</v>
      </c>
      <c r="B432" s="215">
        <v>9</v>
      </c>
      <c r="C432" s="215"/>
      <c r="D432" s="216" t="s">
        <v>835</v>
      </c>
      <c r="E432" s="207"/>
      <c r="F432" s="178"/>
      <c r="G432" s="173"/>
      <c r="H432" s="230"/>
      <c r="I432" s="182"/>
      <c r="J432" s="185"/>
      <c r="K432" s="185"/>
      <c r="L432" s="230"/>
      <c r="M432" s="182"/>
      <c r="N432" s="185"/>
      <c r="O432" s="185"/>
      <c r="P432" s="186"/>
      <c r="Q432" s="182"/>
      <c r="R432" s="185"/>
      <c r="S432" s="185"/>
      <c r="T432" s="186"/>
      <c r="U432" s="322"/>
      <c r="V432" s="320"/>
      <c r="W432" s="320"/>
      <c r="X432" s="321"/>
      <c r="Y432" s="193"/>
      <c r="Z432" s="149"/>
      <c r="AA432" s="149"/>
      <c r="AB432" s="148"/>
    </row>
  </sheetData>
  <mergeCells count="43">
    <mergeCell ref="G164:G172"/>
    <mergeCell ref="C125:C129"/>
    <mergeCell ref="E125:E129"/>
    <mergeCell ref="C130:C138"/>
    <mergeCell ref="E130:E138"/>
    <mergeCell ref="C139:C149"/>
    <mergeCell ref="E139:E163"/>
    <mergeCell ref="C150:C156"/>
    <mergeCell ref="C157:C163"/>
    <mergeCell ref="C117:C119"/>
    <mergeCell ref="E117:E119"/>
    <mergeCell ref="C120:C124"/>
    <mergeCell ref="E120:E124"/>
    <mergeCell ref="C164:C174"/>
    <mergeCell ref="E164:E174"/>
    <mergeCell ref="E279:E295"/>
    <mergeCell ref="E323:E352"/>
    <mergeCell ref="G354:G398"/>
    <mergeCell ref="E206:E218"/>
    <mergeCell ref="E234:E244"/>
    <mergeCell ref="C175:C185"/>
    <mergeCell ref="E175:E185"/>
    <mergeCell ref="G175:G183"/>
    <mergeCell ref="E187:E188"/>
    <mergeCell ref="E192:E204"/>
    <mergeCell ref="C114:C116"/>
    <mergeCell ref="E114:E116"/>
    <mergeCell ref="E24:E32"/>
    <mergeCell ref="B29:B30"/>
    <mergeCell ref="C29:C30"/>
    <mergeCell ref="E97:E98"/>
    <mergeCell ref="E99:E107"/>
    <mergeCell ref="C100:C108"/>
    <mergeCell ref="C109:C110"/>
    <mergeCell ref="E109:E110"/>
    <mergeCell ref="C111:C112"/>
    <mergeCell ref="E111:E112"/>
    <mergeCell ref="Z9:Z13"/>
    <mergeCell ref="Y354:Y398"/>
    <mergeCell ref="I1:L1"/>
    <mergeCell ref="M1:P1"/>
    <mergeCell ref="Q1:T1"/>
    <mergeCell ref="U1:X1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2"/>
  <sheetViews>
    <sheetView zoomScale="70" zoomScaleNormal="70" workbookViewId="0">
      <selection activeCell="AK45" sqref="AK45"/>
    </sheetView>
  </sheetViews>
  <sheetFormatPr defaultRowHeight="14.4" x14ac:dyDescent="0.3"/>
  <cols>
    <col min="1" max="1" width="8.88671875" style="2"/>
    <col min="2" max="2" width="29.5546875" style="3" customWidth="1"/>
    <col min="3" max="3" width="12.109375" style="2" customWidth="1"/>
    <col min="4" max="6" width="13.33203125" style="2" customWidth="1"/>
    <col min="7" max="10" width="7.88671875" style="2" customWidth="1"/>
    <col min="11" max="15" width="5.5546875" style="79" customWidth="1"/>
  </cols>
  <sheetData>
    <row r="1" spans="1:6" x14ac:dyDescent="0.3">
      <c r="A1" s="1" t="s">
        <v>283</v>
      </c>
      <c r="B1" s="4" t="s">
        <v>284</v>
      </c>
    </row>
    <row r="2" spans="1:6" x14ac:dyDescent="0.3">
      <c r="A2" s="1" t="s">
        <v>285</v>
      </c>
      <c r="B2" s="80" t="s">
        <v>286</v>
      </c>
      <c r="C2" s="1">
        <v>4</v>
      </c>
    </row>
    <row r="3" spans="1:6" ht="28.8" x14ac:dyDescent="0.3">
      <c r="A3" s="1" t="s">
        <v>285</v>
      </c>
      <c r="B3" s="80" t="s">
        <v>287</v>
      </c>
      <c r="C3" s="1">
        <v>4</v>
      </c>
    </row>
    <row r="4" spans="1:6" ht="28.8" x14ac:dyDescent="0.3">
      <c r="A4" s="1" t="s">
        <v>285</v>
      </c>
      <c r="B4" s="80" t="s">
        <v>288</v>
      </c>
      <c r="C4" s="1">
        <v>4</v>
      </c>
    </row>
    <row r="5" spans="1:6" ht="28.8" x14ac:dyDescent="0.3">
      <c r="A5" s="1" t="s">
        <v>285</v>
      </c>
      <c r="B5" s="80" t="s">
        <v>289</v>
      </c>
      <c r="C5" s="1"/>
    </row>
    <row r="6" spans="1:6" x14ac:dyDescent="0.3">
      <c r="A6" s="1" t="s">
        <v>285</v>
      </c>
      <c r="B6" s="80" t="s">
        <v>290</v>
      </c>
      <c r="C6" s="1"/>
    </row>
    <row r="8" spans="1:6" x14ac:dyDescent="0.3">
      <c r="D8" s="81" t="s">
        <v>291</v>
      </c>
      <c r="E8" s="82">
        <f>SUM(D13:F13,D21:F21,D29:F29,D37:F37)-SUM(D18:F18,D26:F26,D34:F34,D42:F42)</f>
        <v>1598</v>
      </c>
    </row>
    <row r="9" spans="1:6" x14ac:dyDescent="0.3">
      <c r="D9" s="81" t="s">
        <v>292</v>
      </c>
      <c r="E9" s="83">
        <f>SUM(D17:F17,D25:F25,D33:F33,D41:F41)</f>
        <v>554</v>
      </c>
    </row>
    <row r="10" spans="1:6" x14ac:dyDescent="0.3">
      <c r="D10" s="2" t="s">
        <v>293</v>
      </c>
      <c r="E10" s="84">
        <f>E8-E9</f>
        <v>1044</v>
      </c>
    </row>
    <row r="11" spans="1:6" x14ac:dyDescent="0.3">
      <c r="B11" s="85" t="s">
        <v>294</v>
      </c>
      <c r="C11" s="86">
        <v>45876</v>
      </c>
    </row>
    <row r="12" spans="1:6" x14ac:dyDescent="0.3">
      <c r="B12" s="87" t="s">
        <v>295</v>
      </c>
      <c r="D12" s="2" t="s">
        <v>9</v>
      </c>
      <c r="E12" s="2" t="s">
        <v>10</v>
      </c>
      <c r="F12" s="2" t="s">
        <v>11</v>
      </c>
    </row>
    <row r="13" spans="1:6" x14ac:dyDescent="0.3">
      <c r="B13" s="88"/>
      <c r="C13" s="2" t="s">
        <v>296</v>
      </c>
      <c r="D13" s="2">
        <f>'[1]Уч.1 опоры'!A25</f>
        <v>242</v>
      </c>
      <c r="E13" s="2">
        <f>'[1]Уч.1 Камеры'!A21</f>
        <v>360</v>
      </c>
      <c r="F13" s="2">
        <f>'[1]Уч.1 труба'!A10</f>
        <v>21</v>
      </c>
    </row>
    <row r="14" spans="1:6" x14ac:dyDescent="0.3">
      <c r="B14" s="89" t="s">
        <v>297</v>
      </c>
      <c r="C14" s="5">
        <v>1</v>
      </c>
      <c r="D14" s="2">
        <f>D13-SUM(D15:D18)</f>
        <v>0</v>
      </c>
      <c r="E14" s="2">
        <f t="shared" ref="E14:F14" si="0">E13-SUM(E15:E18)</f>
        <v>287</v>
      </c>
      <c r="F14" s="2">
        <f t="shared" si="0"/>
        <v>20</v>
      </c>
    </row>
    <row r="15" spans="1:6" x14ac:dyDescent="0.3">
      <c r="B15" s="89" t="s">
        <v>298</v>
      </c>
      <c r="C15" s="90">
        <v>2</v>
      </c>
      <c r="D15" s="2">
        <f>'[1]Уч.1 опоры'!P24</f>
        <v>26</v>
      </c>
      <c r="E15" s="2">
        <f>'[1]Уч.1 Камеры'!X20</f>
        <v>4</v>
      </c>
      <c r="F15" s="2">
        <f>'[1]Уч.1 труба'!H9</f>
        <v>1</v>
      </c>
    </row>
    <row r="16" spans="1:6" x14ac:dyDescent="0.3">
      <c r="B16" s="89" t="s">
        <v>452</v>
      </c>
      <c r="C16" s="91">
        <v>3</v>
      </c>
      <c r="D16" s="2">
        <f>'[1]Уч.1 опоры'!Q24</f>
        <v>39</v>
      </c>
      <c r="E16" s="2">
        <f>'[1]Уч.1 Камеры'!Y20</f>
        <v>23</v>
      </c>
      <c r="F16" s="2">
        <f>'[1]Уч.1 труба'!I9</f>
        <v>0</v>
      </c>
    </row>
    <row r="17" spans="2:6" x14ac:dyDescent="0.3">
      <c r="B17" s="89" t="s">
        <v>274</v>
      </c>
      <c r="C17" s="92">
        <v>4</v>
      </c>
      <c r="D17" s="2">
        <f>'[1]Уч.1 опоры'!R24</f>
        <v>124</v>
      </c>
      <c r="E17" s="2">
        <f>'[1]Уч.1 Камеры'!Z20</f>
        <v>37</v>
      </c>
      <c r="F17" s="2">
        <f>'[1]Уч.1 труба'!J9</f>
        <v>0</v>
      </c>
    </row>
    <row r="18" spans="2:6" x14ac:dyDescent="0.3">
      <c r="B18" s="89" t="s">
        <v>299</v>
      </c>
      <c r="C18" s="93">
        <v>5</v>
      </c>
      <c r="D18" s="2">
        <f>'[1]Уч.1 опоры'!S24</f>
        <v>53</v>
      </c>
      <c r="E18" s="2">
        <f>'[1]Уч.1 Камеры'!AA20</f>
        <v>9</v>
      </c>
      <c r="F18" s="2">
        <f>'[1]Уч.1 труба'!K9</f>
        <v>0</v>
      </c>
    </row>
    <row r="20" spans="2:6" x14ac:dyDescent="0.3">
      <c r="B20" s="87" t="s">
        <v>300</v>
      </c>
      <c r="E20" s="2" t="s">
        <v>10</v>
      </c>
      <c r="F20" s="2" t="s">
        <v>11</v>
      </c>
    </row>
    <row r="21" spans="2:6" x14ac:dyDescent="0.3">
      <c r="B21" s="88"/>
      <c r="C21" s="2" t="s">
        <v>296</v>
      </c>
      <c r="E21" s="2">
        <f>'[1]Уч.2 Камеры'!A10</f>
        <v>168</v>
      </c>
      <c r="F21" s="2">
        <f>'[1]Уч.2 труба'!A6</f>
        <v>27</v>
      </c>
    </row>
    <row r="22" spans="2:6" x14ac:dyDescent="0.3">
      <c r="B22" s="89" t="s">
        <v>297</v>
      </c>
      <c r="C22" s="5">
        <v>1</v>
      </c>
      <c r="D22" s="2">
        <f>D21-SUM(D23:D26)</f>
        <v>0</v>
      </c>
      <c r="E22" s="2">
        <f t="shared" ref="E22:F22" si="1">E21-SUM(E23:E26)</f>
        <v>92</v>
      </c>
      <c r="F22" s="2">
        <f t="shared" si="1"/>
        <v>21</v>
      </c>
    </row>
    <row r="23" spans="2:6" x14ac:dyDescent="0.3">
      <c r="B23" s="89" t="s">
        <v>298</v>
      </c>
      <c r="C23" s="90">
        <v>2</v>
      </c>
      <c r="E23" s="2">
        <f>'[1]Уч.2 Камеры'!AC9</f>
        <v>0</v>
      </c>
      <c r="F23" s="2">
        <f>'[1]Уч.2 труба'!M5</f>
        <v>2</v>
      </c>
    </row>
    <row r="24" spans="2:6" x14ac:dyDescent="0.3">
      <c r="B24" s="89" t="s">
        <v>452</v>
      </c>
      <c r="C24" s="91">
        <v>3</v>
      </c>
      <c r="E24" s="2">
        <f>'[1]Уч.2 Камеры'!AD9</f>
        <v>22</v>
      </c>
      <c r="F24" s="2">
        <f>'[1]Уч.2 труба'!N5</f>
        <v>0</v>
      </c>
    </row>
    <row r="25" spans="2:6" x14ac:dyDescent="0.3">
      <c r="B25" s="89" t="s">
        <v>274</v>
      </c>
      <c r="C25" s="92">
        <v>4</v>
      </c>
      <c r="E25" s="2">
        <f>'[1]Уч.2 Камеры'!AE9</f>
        <v>54</v>
      </c>
      <c r="F25" s="2">
        <f>'[1]Уч.2 труба'!O5</f>
        <v>4</v>
      </c>
    </row>
    <row r="26" spans="2:6" x14ac:dyDescent="0.3">
      <c r="B26" s="89" t="s">
        <v>299</v>
      </c>
      <c r="C26" s="93">
        <v>5</v>
      </c>
      <c r="E26" s="2">
        <f>'[1]Уч.2 Камеры'!AF9</f>
        <v>0</v>
      </c>
      <c r="F26" s="2">
        <f>'[1]Уч.2 труба'!P5</f>
        <v>0</v>
      </c>
    </row>
    <row r="28" spans="2:6" x14ac:dyDescent="0.3">
      <c r="B28" s="87" t="s">
        <v>301</v>
      </c>
      <c r="D28" s="2" t="s">
        <v>9</v>
      </c>
      <c r="E28" s="2" t="s">
        <v>10</v>
      </c>
      <c r="F28" s="2" t="s">
        <v>11</v>
      </c>
    </row>
    <row r="29" spans="2:6" x14ac:dyDescent="0.3">
      <c r="B29" s="88"/>
      <c r="C29" s="2" t="s">
        <v>296</v>
      </c>
      <c r="D29" s="2">
        <f>'[1]Уч.3 опоры'!A11</f>
        <v>72</v>
      </c>
      <c r="E29" s="2">
        <f>'[1]Уч.3 камеры'!D20</f>
        <v>408</v>
      </c>
      <c r="F29" s="2">
        <f>'[1]Уч.3 труба'!A12</f>
        <v>108</v>
      </c>
    </row>
    <row r="30" spans="2:6" x14ac:dyDescent="0.3">
      <c r="B30" s="89" t="s">
        <v>297</v>
      </c>
      <c r="C30" s="5">
        <v>1</v>
      </c>
      <c r="D30" s="2">
        <f>D29-SUM(D31:D34)</f>
        <v>0</v>
      </c>
      <c r="E30" s="2">
        <f t="shared" ref="E30:F30" si="2">E29-SUM(E31:E34)</f>
        <v>219</v>
      </c>
      <c r="F30" s="2">
        <f t="shared" si="2"/>
        <v>44</v>
      </c>
    </row>
    <row r="31" spans="2:6" x14ac:dyDescent="0.3">
      <c r="B31" s="89" t="s">
        <v>298</v>
      </c>
      <c r="C31" s="90">
        <v>2</v>
      </c>
      <c r="D31" s="2">
        <f>'[1]Уч.3 опоры'!M10</f>
        <v>4</v>
      </c>
      <c r="E31" s="2">
        <f>'[1]Уч.3 камеры'!AC19</f>
        <v>0</v>
      </c>
      <c r="F31" s="2">
        <f>'[1]Уч.3 труба'!P11</f>
        <v>6</v>
      </c>
    </row>
    <row r="32" spans="2:6" x14ac:dyDescent="0.3">
      <c r="B32" s="89" t="s">
        <v>452</v>
      </c>
      <c r="C32" s="91">
        <v>3</v>
      </c>
      <c r="D32" s="2">
        <f>'[1]Уч.3 опоры'!N10</f>
        <v>48</v>
      </c>
      <c r="E32" s="2">
        <f>'[1]Уч.3 камеры'!AD19</f>
        <v>40</v>
      </c>
      <c r="F32" s="2">
        <f>'[1]Уч.3 труба'!Q11</f>
        <v>6</v>
      </c>
    </row>
    <row r="33" spans="2:6" x14ac:dyDescent="0.3">
      <c r="B33" s="89" t="s">
        <v>274</v>
      </c>
      <c r="C33" s="92">
        <v>4</v>
      </c>
      <c r="D33" s="2">
        <f>'[1]Уч.3 опоры'!O10</f>
        <v>16</v>
      </c>
      <c r="E33" s="2">
        <f>'[1]Уч.3 камеры'!AE19</f>
        <v>149</v>
      </c>
      <c r="F33" s="2">
        <f>'[1]Уч.3 труба'!R11</f>
        <v>26</v>
      </c>
    </row>
    <row r="34" spans="2:6" x14ac:dyDescent="0.3">
      <c r="B34" s="89" t="s">
        <v>299</v>
      </c>
      <c r="C34" s="93">
        <v>5</v>
      </c>
      <c r="D34" s="2">
        <f>'[1]Уч.3 опоры'!P10</f>
        <v>4</v>
      </c>
      <c r="E34" s="2">
        <f>'[1]Уч.3 камеры'!AF19</f>
        <v>0</v>
      </c>
      <c r="F34" s="2">
        <f>'[1]Уч.3 труба'!S11</f>
        <v>26</v>
      </c>
    </row>
    <row r="36" spans="2:6" x14ac:dyDescent="0.3">
      <c r="B36" s="87" t="s">
        <v>302</v>
      </c>
      <c r="D36" s="2" t="s">
        <v>9</v>
      </c>
      <c r="E36" s="2" t="s">
        <v>10</v>
      </c>
      <c r="F36" s="2" t="s">
        <v>11</v>
      </c>
    </row>
    <row r="37" spans="2:6" x14ac:dyDescent="0.3">
      <c r="B37" s="88"/>
      <c r="C37" s="2" t="s">
        <v>296</v>
      </c>
      <c r="D37" s="2">
        <f>'[1]Уч.4 опоры'!A14</f>
        <v>66</v>
      </c>
      <c r="E37" s="2">
        <f>'[1]Уч.4 камеры'!C11</f>
        <v>192</v>
      </c>
      <c r="F37" s="2">
        <f>'[1]Уч.4 труба'!C5</f>
        <v>26</v>
      </c>
    </row>
    <row r="38" spans="2:6" x14ac:dyDescent="0.3">
      <c r="B38" s="89" t="s">
        <v>297</v>
      </c>
      <c r="C38" s="5">
        <v>1</v>
      </c>
      <c r="D38" s="2">
        <f>D37-SUM(D39:D42)</f>
        <v>0</v>
      </c>
      <c r="E38" s="2">
        <f t="shared" ref="E38:F38" si="3">E37-SUM(E39:E42)</f>
        <v>92</v>
      </c>
      <c r="F38" s="2">
        <f t="shared" si="3"/>
        <v>0</v>
      </c>
    </row>
    <row r="39" spans="2:6" x14ac:dyDescent="0.3">
      <c r="B39" s="89" t="s">
        <v>298</v>
      </c>
      <c r="C39" s="90">
        <v>2</v>
      </c>
      <c r="D39" s="2">
        <f>'[1]Уч.4 опоры'!J13</f>
        <v>0</v>
      </c>
      <c r="E39" s="2">
        <f>'[1]Уч.4 камеры'!AB10</f>
        <v>10</v>
      </c>
      <c r="F39" s="2">
        <f>'[1]Уч.4 труба'!Q4</f>
        <v>5</v>
      </c>
    </row>
    <row r="40" spans="2:6" x14ac:dyDescent="0.3">
      <c r="B40" s="89" t="s">
        <v>452</v>
      </c>
      <c r="C40" s="91">
        <v>3</v>
      </c>
      <c r="D40" s="2">
        <f>'[1]Уч.4 опоры'!K13</f>
        <v>0</v>
      </c>
      <c r="E40" s="2">
        <f>'[1]Уч.4 камеры'!AC10</f>
        <v>27</v>
      </c>
      <c r="F40" s="2">
        <f>'[1]Уч.4 труба'!R4</f>
        <v>6</v>
      </c>
    </row>
    <row r="41" spans="2:6" x14ac:dyDescent="0.3">
      <c r="B41" s="89" t="s">
        <v>274</v>
      </c>
      <c r="C41" s="92">
        <v>4</v>
      </c>
      <c r="D41" s="2">
        <f>'[1]Уч.4 опоры'!L13</f>
        <v>66</v>
      </c>
      <c r="E41" s="2">
        <f>'[1]Уч.4 камеры'!AD10</f>
        <v>63</v>
      </c>
      <c r="F41" s="2">
        <f>'[1]Уч.4 труба'!S4</f>
        <v>15</v>
      </c>
    </row>
    <row r="42" spans="2:6" x14ac:dyDescent="0.3">
      <c r="B42" s="89" t="s">
        <v>299</v>
      </c>
      <c r="C42" s="93">
        <v>5</v>
      </c>
      <c r="D42" s="2">
        <f>'[1]Уч.4 опоры'!M13</f>
        <v>0</v>
      </c>
      <c r="E42" s="2">
        <f>'[1]Уч.4 камеры'!AE10</f>
        <v>0</v>
      </c>
      <c r="F42" s="2">
        <f>'[1]Уч.4 труба'!T4</f>
        <v>0</v>
      </c>
    </row>
  </sheetData>
  <conditionalFormatting sqref="C2:C6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51181102362204722" right="0.31496062992125984" top="0.35433070866141736" bottom="0.35433070866141736" header="0.31496062992125984" footer="0.31496062992125984"/>
  <pageSetup paperSize="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BCAF-E3AF-4495-BF22-124EC7F37FD2}">
  <dimension ref="A2:I94"/>
  <sheetViews>
    <sheetView workbookViewId="0">
      <selection activeCell="O18" sqref="O18"/>
    </sheetView>
  </sheetViews>
  <sheetFormatPr defaultRowHeight="14.4" x14ac:dyDescent="0.3"/>
  <cols>
    <col min="2" max="2" width="13.44140625" customWidth="1"/>
    <col min="3" max="3" width="15.88671875" customWidth="1"/>
    <col min="4" max="4" width="30" customWidth="1"/>
    <col min="5" max="5" width="42.33203125" customWidth="1"/>
    <col min="6" max="6" width="12.109375" customWidth="1"/>
    <col min="7" max="7" width="20.6640625" customWidth="1"/>
    <col min="8" max="8" width="12.33203125" customWidth="1"/>
  </cols>
  <sheetData>
    <row r="2" spans="1:9" ht="46.8" x14ac:dyDescent="0.3">
      <c r="A2" s="329" t="s">
        <v>898</v>
      </c>
      <c r="B2" s="329" t="s">
        <v>899</v>
      </c>
      <c r="C2" s="329" t="s">
        <v>900</v>
      </c>
      <c r="D2" s="329" t="s">
        <v>901</v>
      </c>
      <c r="E2" s="329" t="s">
        <v>902</v>
      </c>
      <c r="F2" s="329" t="s">
        <v>903</v>
      </c>
      <c r="G2" s="329" t="s">
        <v>904</v>
      </c>
      <c r="H2" s="329" t="s">
        <v>905</v>
      </c>
      <c r="I2" s="329" t="s">
        <v>906</v>
      </c>
    </row>
    <row r="3" spans="1:9" ht="15.6" x14ac:dyDescent="0.3">
      <c r="A3" s="466">
        <v>2024</v>
      </c>
      <c r="B3" s="466"/>
      <c r="C3" s="466"/>
      <c r="D3" s="466"/>
      <c r="E3" s="466"/>
      <c r="F3" s="466"/>
      <c r="G3" s="466"/>
      <c r="H3" s="466"/>
      <c r="I3" s="467"/>
    </row>
    <row r="4" spans="1:9" ht="26.4" customHeight="1" x14ac:dyDescent="0.3">
      <c r="A4" s="330">
        <v>1</v>
      </c>
      <c r="B4" s="330" t="s">
        <v>907</v>
      </c>
      <c r="C4" s="330" t="s">
        <v>908</v>
      </c>
      <c r="D4" s="330" t="s">
        <v>909</v>
      </c>
      <c r="E4" s="331" t="s">
        <v>910</v>
      </c>
      <c r="F4" s="330">
        <v>1</v>
      </c>
      <c r="G4" s="331" t="s">
        <v>911</v>
      </c>
      <c r="H4" s="330" t="s">
        <v>912</v>
      </c>
      <c r="I4" s="330" t="s">
        <v>913</v>
      </c>
    </row>
    <row r="5" spans="1:9" ht="26.4" customHeight="1" x14ac:dyDescent="0.3">
      <c r="A5" s="330">
        <v>2</v>
      </c>
      <c r="B5" s="332" t="s">
        <v>914</v>
      </c>
      <c r="C5" s="332" t="s">
        <v>908</v>
      </c>
      <c r="D5" s="332" t="s">
        <v>915</v>
      </c>
      <c r="E5" s="333" t="s">
        <v>910</v>
      </c>
      <c r="F5" s="332">
        <v>3</v>
      </c>
      <c r="G5" s="333" t="s">
        <v>911</v>
      </c>
      <c r="H5" s="332" t="s">
        <v>912</v>
      </c>
      <c r="I5" s="332" t="s">
        <v>913</v>
      </c>
    </row>
    <row r="6" spans="1:9" ht="26.4" customHeight="1" x14ac:dyDescent="0.3">
      <c r="A6" s="330">
        <v>3</v>
      </c>
      <c r="B6" s="330" t="s">
        <v>916</v>
      </c>
      <c r="C6" s="330" t="s">
        <v>908</v>
      </c>
      <c r="D6" s="330" t="s">
        <v>917</v>
      </c>
      <c r="E6" s="331" t="s">
        <v>910</v>
      </c>
      <c r="F6" s="330">
        <v>1</v>
      </c>
      <c r="G6" s="331" t="s">
        <v>911</v>
      </c>
      <c r="H6" s="330" t="s">
        <v>912</v>
      </c>
      <c r="I6" s="330" t="s">
        <v>913</v>
      </c>
    </row>
    <row r="7" spans="1:9" ht="26.4" customHeight="1" x14ac:dyDescent="0.3">
      <c r="A7" s="330">
        <v>4</v>
      </c>
      <c r="B7" s="330" t="s">
        <v>918</v>
      </c>
      <c r="C7" s="330" t="s">
        <v>908</v>
      </c>
      <c r="D7" s="330" t="s">
        <v>919</v>
      </c>
      <c r="E7" s="331" t="s">
        <v>910</v>
      </c>
      <c r="F7" s="330">
        <v>5</v>
      </c>
      <c r="G7" s="331" t="s">
        <v>911</v>
      </c>
      <c r="H7" s="330" t="s">
        <v>912</v>
      </c>
      <c r="I7" s="330" t="s">
        <v>913</v>
      </c>
    </row>
    <row r="8" spans="1:9" ht="26.4" customHeight="1" x14ac:dyDescent="0.3">
      <c r="A8" s="330">
        <v>5</v>
      </c>
      <c r="B8" s="330" t="s">
        <v>920</v>
      </c>
      <c r="C8" s="330" t="s">
        <v>908</v>
      </c>
      <c r="D8" s="330" t="s">
        <v>921</v>
      </c>
      <c r="E8" s="331" t="s">
        <v>910</v>
      </c>
      <c r="F8" s="330">
        <v>1</v>
      </c>
      <c r="G8" s="331" t="s">
        <v>911</v>
      </c>
      <c r="H8" s="330" t="s">
        <v>912</v>
      </c>
      <c r="I8" s="330" t="s">
        <v>913</v>
      </c>
    </row>
    <row r="9" spans="1:9" ht="26.4" customHeight="1" x14ac:dyDescent="0.3">
      <c r="A9" s="330">
        <v>6</v>
      </c>
      <c r="B9" s="332" t="s">
        <v>922</v>
      </c>
      <c r="C9" s="332" t="s">
        <v>923</v>
      </c>
      <c r="D9" s="332" t="s">
        <v>919</v>
      </c>
      <c r="E9" s="333" t="s">
        <v>910</v>
      </c>
      <c r="F9" s="332">
        <v>6</v>
      </c>
      <c r="G9" s="333" t="s">
        <v>924</v>
      </c>
      <c r="H9" s="332" t="s">
        <v>912</v>
      </c>
      <c r="I9" s="332" t="s">
        <v>913</v>
      </c>
    </row>
    <row r="10" spans="1:9" ht="26.4" customHeight="1" x14ac:dyDescent="0.3">
      <c r="A10" s="330">
        <v>7</v>
      </c>
      <c r="B10" s="330" t="s">
        <v>925</v>
      </c>
      <c r="C10" s="330" t="s">
        <v>923</v>
      </c>
      <c r="D10" s="330" t="s">
        <v>921</v>
      </c>
      <c r="E10" s="331" t="s">
        <v>910</v>
      </c>
      <c r="F10" s="330">
        <v>2</v>
      </c>
      <c r="G10" s="331" t="s">
        <v>924</v>
      </c>
      <c r="H10" s="330" t="s">
        <v>912</v>
      </c>
      <c r="I10" s="330" t="s">
        <v>913</v>
      </c>
    </row>
    <row r="11" spans="1:9" ht="19.95" customHeight="1" x14ac:dyDescent="0.3">
      <c r="A11" s="468">
        <v>2025</v>
      </c>
      <c r="B11" s="468"/>
      <c r="C11" s="468"/>
      <c r="D11" s="468"/>
      <c r="E11" s="468"/>
      <c r="F11" s="468"/>
      <c r="G11" s="468"/>
      <c r="H11" s="468"/>
      <c r="I11" s="469"/>
    </row>
    <row r="12" spans="1:9" ht="26.4" customHeight="1" x14ac:dyDescent="0.3">
      <c r="A12" s="331">
        <v>8</v>
      </c>
      <c r="B12" s="331" t="s">
        <v>926</v>
      </c>
      <c r="C12" s="331" t="s">
        <v>927</v>
      </c>
      <c r="D12" s="331" t="s">
        <v>928</v>
      </c>
      <c r="E12" s="331" t="s">
        <v>929</v>
      </c>
      <c r="F12" s="331">
        <v>3</v>
      </c>
      <c r="G12" s="331" t="s">
        <v>924</v>
      </c>
      <c r="H12" s="331" t="s">
        <v>912</v>
      </c>
      <c r="I12" s="331" t="s">
        <v>913</v>
      </c>
    </row>
    <row r="13" spans="1:9" ht="26.4" customHeight="1" x14ac:dyDescent="0.3">
      <c r="A13" s="331">
        <v>9</v>
      </c>
      <c r="B13" s="331" t="s">
        <v>930</v>
      </c>
      <c r="C13" s="331" t="s">
        <v>931</v>
      </c>
      <c r="D13" s="331" t="s">
        <v>919</v>
      </c>
      <c r="E13" s="331" t="s">
        <v>929</v>
      </c>
      <c r="F13" s="331">
        <v>7</v>
      </c>
      <c r="G13" s="331" t="s">
        <v>924</v>
      </c>
      <c r="H13" s="331" t="s">
        <v>912</v>
      </c>
      <c r="I13" s="331" t="s">
        <v>913</v>
      </c>
    </row>
    <row r="14" spans="1:9" ht="26.4" customHeight="1" x14ac:dyDescent="0.3">
      <c r="A14" s="331">
        <v>10</v>
      </c>
      <c r="B14" s="331" t="s">
        <v>932</v>
      </c>
      <c r="C14" s="331" t="s">
        <v>931</v>
      </c>
      <c r="D14" s="331" t="s">
        <v>933</v>
      </c>
      <c r="E14" s="331" t="s">
        <v>929</v>
      </c>
      <c r="F14" s="331">
        <v>4</v>
      </c>
      <c r="G14" s="331" t="s">
        <v>924</v>
      </c>
      <c r="H14" s="331" t="s">
        <v>912</v>
      </c>
      <c r="I14" s="331" t="s">
        <v>913</v>
      </c>
    </row>
    <row r="15" spans="1:9" ht="26.4" customHeight="1" x14ac:dyDescent="0.3">
      <c r="A15" s="331">
        <v>11</v>
      </c>
      <c r="B15" s="331" t="s">
        <v>934</v>
      </c>
      <c r="C15" s="331" t="s">
        <v>931</v>
      </c>
      <c r="D15" s="331" t="s">
        <v>917</v>
      </c>
      <c r="E15" s="331" t="s">
        <v>929</v>
      </c>
      <c r="F15" s="331">
        <v>2</v>
      </c>
      <c r="G15" s="331" t="s">
        <v>924</v>
      </c>
      <c r="H15" s="331" t="s">
        <v>912</v>
      </c>
      <c r="I15" s="331" t="s">
        <v>913</v>
      </c>
    </row>
    <row r="16" spans="1:9" ht="26.4" customHeight="1" x14ac:dyDescent="0.3">
      <c r="A16" s="331">
        <v>12</v>
      </c>
      <c r="B16" s="331" t="s">
        <v>935</v>
      </c>
      <c r="C16" s="331" t="s">
        <v>936</v>
      </c>
      <c r="D16" s="331" t="s">
        <v>937</v>
      </c>
      <c r="E16" s="331" t="s">
        <v>938</v>
      </c>
      <c r="F16" s="331">
        <v>4</v>
      </c>
      <c r="G16" s="331" t="s">
        <v>939</v>
      </c>
      <c r="H16" s="331" t="s">
        <v>940</v>
      </c>
      <c r="I16" s="331"/>
    </row>
    <row r="17" spans="1:9" ht="26.4" customHeight="1" x14ac:dyDescent="0.3">
      <c r="A17" s="331">
        <v>13</v>
      </c>
      <c r="B17" s="331" t="s">
        <v>941</v>
      </c>
      <c r="C17" s="331" t="s">
        <v>942</v>
      </c>
      <c r="D17" s="331" t="s">
        <v>943</v>
      </c>
      <c r="E17" s="331" t="s">
        <v>944</v>
      </c>
      <c r="F17" s="331" t="s">
        <v>945</v>
      </c>
      <c r="G17" s="331"/>
      <c r="H17" s="331" t="s">
        <v>946</v>
      </c>
      <c r="I17" s="331"/>
    </row>
    <row r="18" spans="1:9" ht="26.4" customHeight="1" x14ac:dyDescent="0.3">
      <c r="A18" s="331">
        <v>14</v>
      </c>
      <c r="B18" s="331" t="s">
        <v>947</v>
      </c>
      <c r="C18" s="334">
        <v>45800</v>
      </c>
      <c r="D18" s="331" t="s">
        <v>948</v>
      </c>
      <c r="E18" s="331" t="s">
        <v>949</v>
      </c>
      <c r="F18" s="331">
        <v>5</v>
      </c>
      <c r="G18" s="331"/>
      <c r="H18" s="331" t="s">
        <v>950</v>
      </c>
      <c r="I18" s="331"/>
    </row>
    <row r="19" spans="1:9" ht="26.4" customHeight="1" x14ac:dyDescent="0.3">
      <c r="A19" s="331">
        <v>15</v>
      </c>
      <c r="B19" s="331" t="s">
        <v>951</v>
      </c>
      <c r="C19" s="331" t="s">
        <v>952</v>
      </c>
      <c r="D19" s="331" t="s">
        <v>953</v>
      </c>
      <c r="E19" s="331" t="s">
        <v>938</v>
      </c>
      <c r="F19" s="333">
        <v>8</v>
      </c>
      <c r="G19" s="331" t="s">
        <v>911</v>
      </c>
      <c r="H19" s="331" t="s">
        <v>954</v>
      </c>
      <c r="I19" s="331" t="s">
        <v>955</v>
      </c>
    </row>
    <row r="20" spans="1:9" ht="26.4" customHeight="1" x14ac:dyDescent="0.3">
      <c r="A20" s="331">
        <v>16</v>
      </c>
      <c r="B20" s="331" t="s">
        <v>951</v>
      </c>
      <c r="C20" s="331" t="s">
        <v>952</v>
      </c>
      <c r="D20" s="331" t="s">
        <v>956</v>
      </c>
      <c r="E20" s="331" t="s">
        <v>957</v>
      </c>
      <c r="F20" s="335" t="s">
        <v>958</v>
      </c>
      <c r="G20" s="331" t="s">
        <v>911</v>
      </c>
      <c r="H20" s="331" t="s">
        <v>954</v>
      </c>
      <c r="I20" s="331" t="s">
        <v>955</v>
      </c>
    </row>
    <row r="21" spans="1:9" ht="26.4" customHeight="1" x14ac:dyDescent="0.3">
      <c r="A21" s="331">
        <v>17</v>
      </c>
      <c r="B21" s="331" t="s">
        <v>951</v>
      </c>
      <c r="C21" s="331" t="s">
        <v>952</v>
      </c>
      <c r="D21" s="331" t="s">
        <v>959</v>
      </c>
      <c r="E21" s="331" t="s">
        <v>957</v>
      </c>
      <c r="F21" s="335">
        <v>8</v>
      </c>
      <c r="G21" s="331" t="s">
        <v>911</v>
      </c>
      <c r="H21" s="331" t="s">
        <v>954</v>
      </c>
      <c r="I21" s="331" t="s">
        <v>955</v>
      </c>
    </row>
    <row r="22" spans="1:9" ht="26.4" customHeight="1" x14ac:dyDescent="0.3">
      <c r="A22" s="331">
        <v>18</v>
      </c>
      <c r="B22" s="331" t="s">
        <v>960</v>
      </c>
      <c r="C22" s="331" t="s">
        <v>952</v>
      </c>
      <c r="D22" s="331" t="s">
        <v>961</v>
      </c>
      <c r="E22" s="331" t="s">
        <v>962</v>
      </c>
      <c r="F22" s="335" t="s">
        <v>963</v>
      </c>
      <c r="G22" s="331" t="s">
        <v>911</v>
      </c>
      <c r="H22" s="331" t="s">
        <v>954</v>
      </c>
      <c r="I22" s="331" t="s">
        <v>955</v>
      </c>
    </row>
    <row r="23" spans="1:9" ht="26.4" customHeight="1" x14ac:dyDescent="0.3">
      <c r="A23" s="331">
        <v>19</v>
      </c>
      <c r="B23" s="331" t="s">
        <v>964</v>
      </c>
      <c r="C23" s="331" t="s">
        <v>952</v>
      </c>
      <c r="D23" s="331" t="s">
        <v>965</v>
      </c>
      <c r="E23" s="331" t="s">
        <v>962</v>
      </c>
      <c r="F23" s="336">
        <v>10</v>
      </c>
      <c r="G23" s="331" t="s">
        <v>911</v>
      </c>
      <c r="H23" s="331" t="s">
        <v>954</v>
      </c>
      <c r="I23" s="331" t="s">
        <v>955</v>
      </c>
    </row>
    <row r="24" spans="1:9" ht="26.4" customHeight="1" x14ac:dyDescent="0.3">
      <c r="A24" s="331">
        <v>20</v>
      </c>
      <c r="B24" s="331" t="s">
        <v>966</v>
      </c>
      <c r="C24" s="331" t="s">
        <v>952</v>
      </c>
      <c r="D24" s="331" t="s">
        <v>967</v>
      </c>
      <c r="E24" s="331" t="s">
        <v>957</v>
      </c>
      <c r="F24" s="331">
        <v>7</v>
      </c>
      <c r="G24" s="331" t="s">
        <v>911</v>
      </c>
      <c r="H24" s="331" t="s">
        <v>954</v>
      </c>
      <c r="I24" s="331" t="s">
        <v>955</v>
      </c>
    </row>
    <row r="25" spans="1:9" ht="26.4" customHeight="1" x14ac:dyDescent="0.3">
      <c r="A25" s="331">
        <v>21</v>
      </c>
      <c r="B25" s="331" t="s">
        <v>968</v>
      </c>
      <c r="C25" s="331" t="s">
        <v>952</v>
      </c>
      <c r="D25" s="331" t="s">
        <v>969</v>
      </c>
      <c r="E25" s="331" t="s">
        <v>957</v>
      </c>
      <c r="F25" s="331">
        <v>1</v>
      </c>
      <c r="G25" s="331" t="s">
        <v>911</v>
      </c>
      <c r="H25" s="331" t="s">
        <v>954</v>
      </c>
      <c r="I25" s="331" t="s">
        <v>955</v>
      </c>
    </row>
    <row r="26" spans="1:9" ht="26.4" customHeight="1" x14ac:dyDescent="0.3">
      <c r="A26" s="331">
        <v>22</v>
      </c>
      <c r="B26" s="331" t="s">
        <v>970</v>
      </c>
      <c r="C26" s="331" t="s">
        <v>971</v>
      </c>
      <c r="D26" s="331" t="s">
        <v>972</v>
      </c>
      <c r="E26" s="331" t="s">
        <v>938</v>
      </c>
      <c r="F26" s="331">
        <v>8</v>
      </c>
      <c r="G26" s="331" t="s">
        <v>924</v>
      </c>
      <c r="H26" s="331" t="s">
        <v>912</v>
      </c>
      <c r="I26" s="331" t="s">
        <v>955</v>
      </c>
    </row>
    <row r="27" spans="1:9" ht="26.4" customHeight="1" x14ac:dyDescent="0.3">
      <c r="A27" s="331">
        <v>23</v>
      </c>
      <c r="B27" s="331" t="s">
        <v>973</v>
      </c>
      <c r="C27" s="334">
        <v>45873</v>
      </c>
      <c r="D27" s="331" t="s">
        <v>974</v>
      </c>
      <c r="E27" s="331" t="s">
        <v>975</v>
      </c>
      <c r="F27" s="331" t="s">
        <v>976</v>
      </c>
      <c r="G27" s="331" t="s">
        <v>977</v>
      </c>
      <c r="H27" s="331" t="s">
        <v>912</v>
      </c>
      <c r="I27" s="331"/>
    </row>
    <row r="28" spans="1:9" ht="26.4" customHeight="1" x14ac:dyDescent="0.3">
      <c r="A28" s="331">
        <v>24</v>
      </c>
      <c r="B28" s="337" t="s">
        <v>978</v>
      </c>
      <c r="C28" s="337" t="s">
        <v>979</v>
      </c>
      <c r="D28" s="337" t="s">
        <v>961</v>
      </c>
      <c r="E28" s="337" t="s">
        <v>962</v>
      </c>
      <c r="F28" s="338" t="s">
        <v>980</v>
      </c>
      <c r="G28" s="337" t="s">
        <v>911</v>
      </c>
      <c r="H28" s="337" t="s">
        <v>954</v>
      </c>
      <c r="I28" s="337"/>
    </row>
    <row r="29" spans="1:9" ht="26.4" customHeight="1" x14ac:dyDescent="0.3">
      <c r="A29" s="331">
        <v>25</v>
      </c>
      <c r="B29" s="331" t="s">
        <v>981</v>
      </c>
      <c r="C29" s="331" t="s">
        <v>982</v>
      </c>
      <c r="D29" s="331" t="s">
        <v>961</v>
      </c>
      <c r="E29" s="331" t="s">
        <v>962</v>
      </c>
      <c r="F29" s="331">
        <v>15</v>
      </c>
      <c r="G29" s="331" t="s">
        <v>911</v>
      </c>
      <c r="H29" s="331" t="s">
        <v>954</v>
      </c>
      <c r="I29" s="331" t="s">
        <v>955</v>
      </c>
    </row>
    <row r="30" spans="1:9" ht="26.4" customHeight="1" x14ac:dyDescent="0.3">
      <c r="A30" s="331">
        <v>26</v>
      </c>
      <c r="B30" s="331" t="s">
        <v>983</v>
      </c>
      <c r="C30" s="331" t="s">
        <v>982</v>
      </c>
      <c r="D30" s="331" t="s">
        <v>984</v>
      </c>
      <c r="E30" s="331" t="s">
        <v>962</v>
      </c>
      <c r="F30" s="331">
        <v>8</v>
      </c>
      <c r="G30" s="331" t="s">
        <v>911</v>
      </c>
      <c r="H30" s="331" t="s">
        <v>954</v>
      </c>
      <c r="I30" s="331" t="s">
        <v>955</v>
      </c>
    </row>
    <row r="31" spans="1:9" ht="26.4" customHeight="1" x14ac:dyDescent="0.3">
      <c r="A31" s="331">
        <v>27</v>
      </c>
      <c r="B31" s="331" t="s">
        <v>985</v>
      </c>
      <c r="C31" s="331" t="s">
        <v>982</v>
      </c>
      <c r="D31" s="331" t="s">
        <v>969</v>
      </c>
      <c r="E31" s="331" t="s">
        <v>957</v>
      </c>
      <c r="F31" s="331">
        <v>2</v>
      </c>
      <c r="G31" s="331" t="s">
        <v>911</v>
      </c>
      <c r="H31" s="331" t="s">
        <v>954</v>
      </c>
      <c r="I31" s="331" t="s">
        <v>955</v>
      </c>
    </row>
    <row r="32" spans="1:9" ht="26.4" customHeight="1" x14ac:dyDescent="0.3">
      <c r="A32" s="331">
        <v>28</v>
      </c>
      <c r="B32" s="337" t="s">
        <v>986</v>
      </c>
      <c r="C32" s="337" t="s">
        <v>982</v>
      </c>
      <c r="D32" s="337" t="s">
        <v>961</v>
      </c>
      <c r="E32" s="337" t="s">
        <v>962</v>
      </c>
      <c r="F32" s="338" t="s">
        <v>987</v>
      </c>
      <c r="G32" s="337"/>
      <c r="H32" s="337" t="s">
        <v>988</v>
      </c>
      <c r="I32" s="337"/>
    </row>
    <row r="33" spans="1:9" ht="26.4" customHeight="1" x14ac:dyDescent="0.3">
      <c r="A33" s="331">
        <v>29</v>
      </c>
      <c r="B33" s="331" t="s">
        <v>989</v>
      </c>
      <c r="C33" s="331" t="s">
        <v>982</v>
      </c>
      <c r="D33" s="331" t="s">
        <v>948</v>
      </c>
      <c r="E33" s="331" t="s">
        <v>938</v>
      </c>
      <c r="F33" s="331">
        <v>6</v>
      </c>
      <c r="G33" s="331" t="s">
        <v>924</v>
      </c>
      <c r="H33" s="331" t="s">
        <v>912</v>
      </c>
      <c r="I33" s="331" t="s">
        <v>955</v>
      </c>
    </row>
    <row r="34" spans="1:9" ht="26.4" customHeight="1" x14ac:dyDescent="0.3">
      <c r="A34" s="331">
        <v>30</v>
      </c>
      <c r="B34" s="331" t="s">
        <v>990</v>
      </c>
      <c r="C34" s="331" t="s">
        <v>982</v>
      </c>
      <c r="D34" s="331" t="s">
        <v>984</v>
      </c>
      <c r="E34" s="331" t="s">
        <v>929</v>
      </c>
      <c r="F34" s="331">
        <v>7</v>
      </c>
      <c r="G34" s="331" t="s">
        <v>911</v>
      </c>
      <c r="H34" s="331" t="s">
        <v>988</v>
      </c>
      <c r="I34" s="331" t="s">
        <v>913</v>
      </c>
    </row>
    <row r="35" spans="1:9" ht="26.4" customHeight="1" x14ac:dyDescent="0.3">
      <c r="A35" s="331">
        <v>31</v>
      </c>
      <c r="B35" s="331" t="s">
        <v>991</v>
      </c>
      <c r="C35" s="331" t="s">
        <v>992</v>
      </c>
      <c r="D35" s="331" t="s">
        <v>993</v>
      </c>
      <c r="E35" s="331" t="s">
        <v>962</v>
      </c>
      <c r="F35" s="331">
        <v>9</v>
      </c>
      <c r="G35" s="331" t="s">
        <v>911</v>
      </c>
      <c r="H35" s="331" t="s">
        <v>954</v>
      </c>
      <c r="I35" s="331" t="s">
        <v>955</v>
      </c>
    </row>
    <row r="36" spans="1:9" ht="26.4" customHeight="1" x14ac:dyDescent="0.3">
      <c r="A36" s="331">
        <v>32</v>
      </c>
      <c r="B36" s="331" t="s">
        <v>994</v>
      </c>
      <c r="C36" s="331" t="s">
        <v>992</v>
      </c>
      <c r="D36" s="331" t="s">
        <v>995</v>
      </c>
      <c r="E36" s="331" t="s">
        <v>962</v>
      </c>
      <c r="F36" s="331">
        <v>11</v>
      </c>
      <c r="G36" s="331" t="s">
        <v>911</v>
      </c>
      <c r="H36" s="331" t="s">
        <v>954</v>
      </c>
      <c r="I36" s="331" t="s">
        <v>955</v>
      </c>
    </row>
    <row r="37" spans="1:9" ht="26.4" customHeight="1" x14ac:dyDescent="0.3">
      <c r="A37" s="331">
        <v>33</v>
      </c>
      <c r="B37" s="331" t="s">
        <v>996</v>
      </c>
      <c r="C37" s="331" t="s">
        <v>997</v>
      </c>
      <c r="D37" s="331" t="s">
        <v>993</v>
      </c>
      <c r="E37" s="331" t="s">
        <v>962</v>
      </c>
      <c r="F37" s="331">
        <v>10</v>
      </c>
      <c r="G37" s="331" t="s">
        <v>911</v>
      </c>
      <c r="H37" s="331" t="s">
        <v>954</v>
      </c>
      <c r="I37" s="331" t="s">
        <v>955</v>
      </c>
    </row>
    <row r="38" spans="1:9" ht="26.4" customHeight="1" x14ac:dyDescent="0.3">
      <c r="A38" s="331">
        <v>34</v>
      </c>
      <c r="B38" s="331" t="s">
        <v>998</v>
      </c>
      <c r="C38" s="331" t="s">
        <v>997</v>
      </c>
      <c r="D38" s="331" t="s">
        <v>999</v>
      </c>
      <c r="E38" s="331" t="s">
        <v>962</v>
      </c>
      <c r="F38" s="331">
        <v>3</v>
      </c>
      <c r="G38" s="331" t="s">
        <v>911</v>
      </c>
      <c r="H38" s="331" t="s">
        <v>954</v>
      </c>
      <c r="I38" s="331" t="s">
        <v>955</v>
      </c>
    </row>
    <row r="39" spans="1:9" ht="26.4" customHeight="1" x14ac:dyDescent="0.3">
      <c r="A39" s="331">
        <v>35</v>
      </c>
      <c r="B39" s="331" t="s">
        <v>1000</v>
      </c>
      <c r="C39" s="331" t="s">
        <v>1001</v>
      </c>
      <c r="D39" s="331" t="s">
        <v>995</v>
      </c>
      <c r="E39" s="331" t="s">
        <v>962</v>
      </c>
      <c r="F39" s="331">
        <v>12</v>
      </c>
      <c r="G39" s="331" t="s">
        <v>911</v>
      </c>
      <c r="H39" s="331" t="s">
        <v>954</v>
      </c>
      <c r="I39" s="331" t="s">
        <v>955</v>
      </c>
    </row>
    <row r="40" spans="1:9" ht="26.4" customHeight="1" x14ac:dyDescent="0.3">
      <c r="A40" s="331">
        <v>36</v>
      </c>
      <c r="B40" s="331" t="s">
        <v>1002</v>
      </c>
      <c r="C40" s="331" t="s">
        <v>1003</v>
      </c>
      <c r="D40" s="331" t="s">
        <v>995</v>
      </c>
      <c r="E40" s="331" t="s">
        <v>962</v>
      </c>
      <c r="F40" s="331">
        <v>13</v>
      </c>
      <c r="G40" s="331" t="s">
        <v>911</v>
      </c>
      <c r="H40" s="331" t="s">
        <v>954</v>
      </c>
      <c r="I40" s="331" t="s">
        <v>955</v>
      </c>
    </row>
    <row r="41" spans="1:9" ht="26.4" customHeight="1" x14ac:dyDescent="0.3">
      <c r="A41" s="331">
        <v>37</v>
      </c>
      <c r="B41" s="331" t="s">
        <v>1004</v>
      </c>
      <c r="C41" s="331" t="s">
        <v>1005</v>
      </c>
      <c r="D41" s="331" t="s">
        <v>995</v>
      </c>
      <c r="E41" s="331" t="s">
        <v>962</v>
      </c>
      <c r="F41" s="331">
        <v>14</v>
      </c>
      <c r="G41" s="331" t="s">
        <v>911</v>
      </c>
      <c r="H41" s="331" t="s">
        <v>954</v>
      </c>
      <c r="I41" s="331" t="s">
        <v>955</v>
      </c>
    </row>
    <row r="42" spans="1:9" ht="26.4" customHeight="1" x14ac:dyDescent="0.3">
      <c r="A42" s="331">
        <v>38</v>
      </c>
      <c r="B42" s="331" t="s">
        <v>1006</v>
      </c>
      <c r="C42" s="339" t="s">
        <v>1007</v>
      </c>
      <c r="D42" s="339" t="s">
        <v>1008</v>
      </c>
      <c r="E42" s="331" t="s">
        <v>1009</v>
      </c>
      <c r="F42" s="339">
        <v>15</v>
      </c>
      <c r="G42" s="331" t="s">
        <v>1010</v>
      </c>
      <c r="H42" s="331" t="s">
        <v>988</v>
      </c>
      <c r="I42" s="340" t="s">
        <v>1011</v>
      </c>
    </row>
    <row r="43" spans="1:9" ht="26.4" customHeight="1" x14ac:dyDescent="0.3">
      <c r="A43" s="331">
        <v>39</v>
      </c>
      <c r="B43" s="331" t="s">
        <v>1012</v>
      </c>
      <c r="C43" s="331" t="s">
        <v>1013</v>
      </c>
      <c r="D43" s="331" t="s">
        <v>972</v>
      </c>
      <c r="E43" s="331" t="s">
        <v>1009</v>
      </c>
      <c r="F43" s="331">
        <v>9</v>
      </c>
      <c r="G43" s="333" t="s">
        <v>924</v>
      </c>
      <c r="H43" s="333" t="s">
        <v>912</v>
      </c>
      <c r="I43" s="333" t="s">
        <v>955</v>
      </c>
    </row>
    <row r="44" spans="1:9" ht="26.4" customHeight="1" x14ac:dyDescent="0.3">
      <c r="A44" s="331">
        <v>40</v>
      </c>
      <c r="B44" s="331" t="s">
        <v>1014</v>
      </c>
      <c r="C44" s="331" t="s">
        <v>1013</v>
      </c>
      <c r="D44" s="331" t="s">
        <v>972</v>
      </c>
      <c r="E44" s="331" t="s">
        <v>1009</v>
      </c>
      <c r="F44" s="331">
        <v>10</v>
      </c>
      <c r="G44" s="333" t="s">
        <v>924</v>
      </c>
      <c r="H44" s="333" t="s">
        <v>912</v>
      </c>
      <c r="I44" s="333" t="s">
        <v>955</v>
      </c>
    </row>
    <row r="45" spans="1:9" ht="26.4" customHeight="1" x14ac:dyDescent="0.3">
      <c r="A45" s="331">
        <v>41</v>
      </c>
      <c r="B45" s="331" t="s">
        <v>1015</v>
      </c>
      <c r="C45" s="331" t="s">
        <v>1013</v>
      </c>
      <c r="D45" s="331" t="s">
        <v>974</v>
      </c>
      <c r="E45" s="331" t="s">
        <v>1009</v>
      </c>
      <c r="F45" s="331">
        <v>6</v>
      </c>
      <c r="G45" s="333" t="s">
        <v>924</v>
      </c>
      <c r="H45" s="333" t="s">
        <v>912</v>
      </c>
      <c r="I45" s="333" t="s">
        <v>955</v>
      </c>
    </row>
    <row r="46" spans="1:9" ht="26.4" customHeight="1" x14ac:dyDescent="0.3">
      <c r="A46" s="331">
        <v>42</v>
      </c>
      <c r="B46" s="331" t="s">
        <v>1016</v>
      </c>
      <c r="C46" s="331" t="s">
        <v>1013</v>
      </c>
      <c r="D46" s="331" t="s">
        <v>974</v>
      </c>
      <c r="E46" s="331" t="s">
        <v>1009</v>
      </c>
      <c r="F46" s="331">
        <v>7</v>
      </c>
      <c r="G46" s="333" t="s">
        <v>924</v>
      </c>
      <c r="H46" s="333" t="s">
        <v>912</v>
      </c>
      <c r="I46" s="333" t="s">
        <v>955</v>
      </c>
    </row>
    <row r="47" spans="1:9" ht="26.4" customHeight="1" x14ac:dyDescent="0.3">
      <c r="A47" s="331">
        <v>43</v>
      </c>
      <c r="B47" s="331" t="s">
        <v>1017</v>
      </c>
      <c r="C47" s="331" t="s">
        <v>1013</v>
      </c>
      <c r="D47" s="331" t="s">
        <v>1018</v>
      </c>
      <c r="E47" s="331" t="s">
        <v>1009</v>
      </c>
      <c r="F47" s="331">
        <v>5</v>
      </c>
      <c r="G47" s="333" t="s">
        <v>924</v>
      </c>
      <c r="H47" s="333" t="s">
        <v>912</v>
      </c>
      <c r="I47" s="333" t="s">
        <v>955</v>
      </c>
    </row>
    <row r="48" spans="1:9" ht="26.4" customHeight="1" x14ac:dyDescent="0.3">
      <c r="A48" s="331">
        <v>44</v>
      </c>
      <c r="B48" s="331" t="s">
        <v>1019</v>
      </c>
      <c r="C48" s="331" t="s">
        <v>1013</v>
      </c>
      <c r="D48" s="331" t="s">
        <v>1018</v>
      </c>
      <c r="E48" s="331" t="s">
        <v>1009</v>
      </c>
      <c r="F48" s="331">
        <v>6</v>
      </c>
      <c r="G48" s="333" t="s">
        <v>924</v>
      </c>
      <c r="H48" s="333" t="s">
        <v>912</v>
      </c>
      <c r="I48" s="333" t="s">
        <v>955</v>
      </c>
    </row>
    <row r="49" spans="1:9" ht="26.4" customHeight="1" x14ac:dyDescent="0.3">
      <c r="A49" s="331">
        <v>45</v>
      </c>
      <c r="B49" s="331" t="s">
        <v>1020</v>
      </c>
      <c r="C49" s="331" t="s">
        <v>1013</v>
      </c>
      <c r="D49" s="331" t="s">
        <v>917</v>
      </c>
      <c r="E49" s="331" t="s">
        <v>1009</v>
      </c>
      <c r="F49" s="331">
        <v>3</v>
      </c>
      <c r="G49" s="333" t="s">
        <v>924</v>
      </c>
      <c r="H49" s="333" t="s">
        <v>912</v>
      </c>
      <c r="I49" s="333" t="s">
        <v>955</v>
      </c>
    </row>
    <row r="50" spans="1:9" ht="26.4" customHeight="1" x14ac:dyDescent="0.3">
      <c r="A50" s="331">
        <v>46</v>
      </c>
      <c r="B50" s="331" t="s">
        <v>1021</v>
      </c>
      <c r="C50" s="331" t="s">
        <v>1013</v>
      </c>
      <c r="D50" s="331" t="s">
        <v>917</v>
      </c>
      <c r="E50" s="331" t="s">
        <v>1009</v>
      </c>
      <c r="F50" s="331">
        <v>4</v>
      </c>
      <c r="G50" s="333" t="s">
        <v>924</v>
      </c>
      <c r="H50" s="333" t="s">
        <v>912</v>
      </c>
      <c r="I50" s="333" t="s">
        <v>955</v>
      </c>
    </row>
    <row r="51" spans="1:9" ht="26.4" customHeight="1" x14ac:dyDescent="0.3">
      <c r="A51" s="331">
        <v>47</v>
      </c>
      <c r="B51" s="331" t="s">
        <v>1022</v>
      </c>
      <c r="C51" s="331" t="s">
        <v>1013</v>
      </c>
      <c r="D51" s="331" t="s">
        <v>928</v>
      </c>
      <c r="E51" s="331" t="s">
        <v>1009</v>
      </c>
      <c r="F51" s="331">
        <v>7</v>
      </c>
      <c r="G51" s="333" t="s">
        <v>924</v>
      </c>
      <c r="H51" s="333" t="s">
        <v>912</v>
      </c>
      <c r="I51" s="333" t="s">
        <v>955</v>
      </c>
    </row>
    <row r="52" spans="1:9" ht="26.4" customHeight="1" x14ac:dyDescent="0.3">
      <c r="A52" s="331">
        <v>48</v>
      </c>
      <c r="B52" s="331" t="s">
        <v>1023</v>
      </c>
      <c r="C52" s="331" t="s">
        <v>1013</v>
      </c>
      <c r="D52" s="331" t="s">
        <v>961</v>
      </c>
      <c r="E52" s="331" t="s">
        <v>1009</v>
      </c>
      <c r="F52" s="331">
        <v>16</v>
      </c>
      <c r="G52" s="333" t="s">
        <v>911</v>
      </c>
      <c r="H52" s="333" t="s">
        <v>954</v>
      </c>
      <c r="I52" s="333" t="s">
        <v>955</v>
      </c>
    </row>
    <row r="53" spans="1:9" ht="26.4" customHeight="1" x14ac:dyDescent="0.3">
      <c r="A53" s="331">
        <v>49</v>
      </c>
      <c r="B53" s="331" t="s">
        <v>1024</v>
      </c>
      <c r="C53" s="331" t="s">
        <v>1013</v>
      </c>
      <c r="D53" s="331" t="s">
        <v>1025</v>
      </c>
      <c r="E53" s="331" t="s">
        <v>1009</v>
      </c>
      <c r="F53" s="331">
        <v>11</v>
      </c>
      <c r="G53" s="335" t="s">
        <v>911</v>
      </c>
      <c r="H53" s="335" t="s">
        <v>954</v>
      </c>
      <c r="I53" s="335" t="s">
        <v>955</v>
      </c>
    </row>
    <row r="54" spans="1:9" ht="26.4" customHeight="1" x14ac:dyDescent="0.3">
      <c r="A54" s="331">
        <v>50</v>
      </c>
      <c r="B54" s="331" t="s">
        <v>1026</v>
      </c>
      <c r="C54" s="331" t="s">
        <v>1013</v>
      </c>
      <c r="D54" s="331" t="s">
        <v>1027</v>
      </c>
      <c r="E54" s="331" t="s">
        <v>962</v>
      </c>
      <c r="F54" s="331">
        <v>2</v>
      </c>
      <c r="G54" s="336" t="s">
        <v>924</v>
      </c>
      <c r="H54" s="336" t="s">
        <v>912</v>
      </c>
      <c r="I54" s="336" t="s">
        <v>955</v>
      </c>
    </row>
    <row r="55" spans="1:9" ht="26.4" customHeight="1" x14ac:dyDescent="0.3">
      <c r="A55" s="331">
        <v>51</v>
      </c>
      <c r="B55" s="331" t="s">
        <v>1028</v>
      </c>
      <c r="C55" s="331" t="s">
        <v>1013</v>
      </c>
      <c r="D55" s="331" t="s">
        <v>961</v>
      </c>
      <c r="E55" s="331" t="s">
        <v>1009</v>
      </c>
      <c r="F55" s="331">
        <v>17</v>
      </c>
      <c r="G55" s="333" t="s">
        <v>911</v>
      </c>
      <c r="H55" s="333" t="s">
        <v>954</v>
      </c>
      <c r="I55" s="333" t="s">
        <v>955</v>
      </c>
    </row>
    <row r="56" spans="1:9" ht="26.4" customHeight="1" x14ac:dyDescent="0.3">
      <c r="A56" s="331">
        <v>52</v>
      </c>
      <c r="B56" s="331" t="s">
        <v>1029</v>
      </c>
      <c r="C56" s="331" t="s">
        <v>1013</v>
      </c>
      <c r="D56" s="331" t="s">
        <v>1025</v>
      </c>
      <c r="E56" s="331" t="s">
        <v>1009</v>
      </c>
      <c r="F56" s="331">
        <v>12</v>
      </c>
      <c r="G56" s="341" t="s">
        <v>911</v>
      </c>
      <c r="H56" s="341" t="s">
        <v>954</v>
      </c>
      <c r="I56" s="341" t="s">
        <v>955</v>
      </c>
    </row>
    <row r="57" spans="1:9" ht="20.399999999999999" customHeight="1" x14ac:dyDescent="0.3">
      <c r="A57" s="468">
        <v>2026</v>
      </c>
      <c r="B57" s="468"/>
      <c r="C57" s="468"/>
      <c r="D57" s="468"/>
      <c r="E57" s="468"/>
      <c r="F57" s="468"/>
      <c r="G57" s="468"/>
      <c r="H57" s="468"/>
      <c r="I57" s="469"/>
    </row>
    <row r="58" spans="1:9" ht="26.4" customHeight="1" x14ac:dyDescent="0.3">
      <c r="A58" s="331">
        <v>53</v>
      </c>
      <c r="B58" s="331" t="s">
        <v>1030</v>
      </c>
      <c r="C58" s="334" t="s">
        <v>1031</v>
      </c>
      <c r="D58" s="331" t="s">
        <v>972</v>
      </c>
      <c r="E58" s="331" t="s">
        <v>1009</v>
      </c>
      <c r="F58" s="331">
        <v>11</v>
      </c>
      <c r="G58" s="331" t="s">
        <v>1032</v>
      </c>
      <c r="H58" s="331" t="s">
        <v>950</v>
      </c>
      <c r="I58" s="331" t="s">
        <v>913</v>
      </c>
    </row>
    <row r="59" spans="1:9" ht="26.4" customHeight="1" x14ac:dyDescent="0.3">
      <c r="A59" s="331">
        <v>54</v>
      </c>
      <c r="B59" s="331" t="s">
        <v>1033</v>
      </c>
      <c r="C59" s="334" t="s">
        <v>1031</v>
      </c>
      <c r="D59" s="331" t="s">
        <v>974</v>
      </c>
      <c r="E59" s="331" t="s">
        <v>1009</v>
      </c>
      <c r="F59" s="331">
        <v>8</v>
      </c>
      <c r="G59" s="331" t="s">
        <v>1032</v>
      </c>
      <c r="H59" s="331" t="s">
        <v>950</v>
      </c>
      <c r="I59" s="331" t="s">
        <v>913</v>
      </c>
    </row>
    <row r="60" spans="1:9" ht="26.4" customHeight="1" x14ac:dyDescent="0.3">
      <c r="A60" s="331">
        <v>55</v>
      </c>
      <c r="B60" s="331" t="s">
        <v>1034</v>
      </c>
      <c r="C60" s="334" t="s">
        <v>1031</v>
      </c>
      <c r="D60" s="331" t="s">
        <v>1018</v>
      </c>
      <c r="E60" s="331" t="s">
        <v>1009</v>
      </c>
      <c r="F60" s="331">
        <v>7</v>
      </c>
      <c r="G60" s="331" t="s">
        <v>1032</v>
      </c>
      <c r="H60" s="331" t="s">
        <v>950</v>
      </c>
      <c r="I60" s="331" t="s">
        <v>913</v>
      </c>
    </row>
    <row r="61" spans="1:9" ht="26.4" customHeight="1" x14ac:dyDescent="0.3">
      <c r="A61" s="331">
        <v>56</v>
      </c>
      <c r="B61" s="331" t="s">
        <v>1035</v>
      </c>
      <c r="C61" s="334" t="s">
        <v>1036</v>
      </c>
      <c r="D61" s="331" t="s">
        <v>961</v>
      </c>
      <c r="E61" s="331" t="s">
        <v>1009</v>
      </c>
      <c r="F61" s="331">
        <v>18</v>
      </c>
      <c r="G61" s="331" t="s">
        <v>1032</v>
      </c>
      <c r="H61" s="331" t="s">
        <v>988</v>
      </c>
      <c r="I61" s="331" t="s">
        <v>913</v>
      </c>
    </row>
    <row r="62" spans="1:9" ht="26.4" customHeight="1" x14ac:dyDescent="0.3">
      <c r="A62" s="331">
        <v>57</v>
      </c>
      <c r="B62" s="333" t="s">
        <v>1037</v>
      </c>
      <c r="C62" s="342">
        <v>46084</v>
      </c>
      <c r="D62" s="333" t="s">
        <v>995</v>
      </c>
      <c r="E62" s="333" t="s">
        <v>1009</v>
      </c>
      <c r="F62" s="333">
        <v>10</v>
      </c>
      <c r="G62" s="333" t="s">
        <v>1032</v>
      </c>
      <c r="H62" s="333" t="s">
        <v>988</v>
      </c>
      <c r="I62" s="333" t="s">
        <v>913</v>
      </c>
    </row>
    <row r="63" spans="1:9" ht="26.4" customHeight="1" x14ac:dyDescent="0.3">
      <c r="A63" s="331">
        <v>58</v>
      </c>
      <c r="B63" s="331" t="s">
        <v>1038</v>
      </c>
      <c r="C63" s="334">
        <v>46082</v>
      </c>
      <c r="D63" s="331" t="s">
        <v>1039</v>
      </c>
      <c r="E63" s="331" t="s">
        <v>1009</v>
      </c>
      <c r="F63" s="331">
        <v>19</v>
      </c>
      <c r="G63" s="331" t="s">
        <v>1040</v>
      </c>
      <c r="H63" s="333" t="s">
        <v>954</v>
      </c>
      <c r="I63" s="333" t="s">
        <v>955</v>
      </c>
    </row>
    <row r="64" spans="1:9" ht="26.4" customHeight="1" x14ac:dyDescent="0.3">
      <c r="A64" s="331">
        <v>59</v>
      </c>
      <c r="B64" s="331" t="s">
        <v>1041</v>
      </c>
      <c r="C64" s="334">
        <v>46082</v>
      </c>
      <c r="D64" s="331" t="s">
        <v>984</v>
      </c>
      <c r="E64" s="331" t="s">
        <v>1009</v>
      </c>
      <c r="F64" s="331">
        <v>10</v>
      </c>
      <c r="G64" s="331" t="s">
        <v>1040</v>
      </c>
      <c r="H64" s="333" t="s">
        <v>954</v>
      </c>
      <c r="I64" s="333" t="s">
        <v>955</v>
      </c>
    </row>
    <row r="65" spans="1:9" ht="26.4" customHeight="1" x14ac:dyDescent="0.3">
      <c r="A65" s="331">
        <v>60</v>
      </c>
      <c r="B65" s="331" t="s">
        <v>1042</v>
      </c>
      <c r="C65" s="334">
        <v>46082</v>
      </c>
      <c r="D65" s="331" t="s">
        <v>1025</v>
      </c>
      <c r="E65" s="331" t="s">
        <v>1009</v>
      </c>
      <c r="F65" s="331">
        <v>13</v>
      </c>
      <c r="G65" s="331" t="s">
        <v>1040</v>
      </c>
      <c r="H65" s="333" t="s">
        <v>954</v>
      </c>
      <c r="I65" s="333" t="s">
        <v>955</v>
      </c>
    </row>
    <row r="66" spans="1:9" ht="26.4" customHeight="1" x14ac:dyDescent="0.3">
      <c r="A66" s="331">
        <v>61</v>
      </c>
      <c r="B66" s="331" t="s">
        <v>1043</v>
      </c>
      <c r="C66" s="334">
        <v>46082</v>
      </c>
      <c r="D66" s="331" t="s">
        <v>919</v>
      </c>
      <c r="E66" s="331" t="s">
        <v>1009</v>
      </c>
      <c r="F66" s="331">
        <v>12</v>
      </c>
      <c r="G66" s="333" t="s">
        <v>1044</v>
      </c>
      <c r="H66" s="333" t="s">
        <v>950</v>
      </c>
      <c r="I66" s="333" t="s">
        <v>955</v>
      </c>
    </row>
    <row r="67" spans="1:9" ht="26.4" customHeight="1" x14ac:dyDescent="0.3">
      <c r="A67" s="331">
        <v>62</v>
      </c>
      <c r="B67" s="331" t="s">
        <v>1045</v>
      </c>
      <c r="C67" s="334">
        <v>46082</v>
      </c>
      <c r="D67" s="331" t="s">
        <v>1046</v>
      </c>
      <c r="E67" s="331" t="s">
        <v>1009</v>
      </c>
      <c r="F67" s="331">
        <v>9</v>
      </c>
      <c r="G67" s="333" t="s">
        <v>1044</v>
      </c>
      <c r="H67" s="333" t="s">
        <v>950</v>
      </c>
      <c r="I67" s="333" t="s">
        <v>955</v>
      </c>
    </row>
    <row r="68" spans="1:9" ht="26.4" customHeight="1" x14ac:dyDescent="0.3">
      <c r="A68" s="331">
        <v>63</v>
      </c>
      <c r="B68" s="331" t="s">
        <v>1047</v>
      </c>
      <c r="C68" s="334">
        <v>46082</v>
      </c>
      <c r="D68" s="331" t="s">
        <v>1018</v>
      </c>
      <c r="E68" s="331" t="s">
        <v>1009</v>
      </c>
      <c r="F68" s="331">
        <v>7</v>
      </c>
      <c r="G68" s="333" t="s">
        <v>1044</v>
      </c>
      <c r="H68" s="333" t="s">
        <v>950</v>
      </c>
      <c r="I68" s="333" t="s">
        <v>955</v>
      </c>
    </row>
    <row r="69" spans="1:9" ht="26.4" customHeight="1" x14ac:dyDescent="0.3">
      <c r="A69" s="331">
        <v>64</v>
      </c>
      <c r="B69" s="331" t="s">
        <v>1048</v>
      </c>
      <c r="C69" s="334" t="s">
        <v>1049</v>
      </c>
      <c r="D69" s="331" t="s">
        <v>948</v>
      </c>
      <c r="E69" s="331" t="s">
        <v>962</v>
      </c>
      <c r="F69" s="331">
        <v>8</v>
      </c>
      <c r="G69" s="331" t="s">
        <v>1044</v>
      </c>
      <c r="H69" s="331" t="s">
        <v>950</v>
      </c>
      <c r="I69" s="331" t="s">
        <v>955</v>
      </c>
    </row>
    <row r="70" spans="1:9" ht="26.4" customHeight="1" x14ac:dyDescent="0.3">
      <c r="A70" s="331">
        <v>65</v>
      </c>
      <c r="B70" s="331" t="s">
        <v>1050</v>
      </c>
      <c r="C70" s="334" t="s">
        <v>1051</v>
      </c>
      <c r="D70" s="331" t="s">
        <v>961</v>
      </c>
      <c r="E70" s="343" t="s">
        <v>962</v>
      </c>
      <c r="F70" s="330">
        <v>20</v>
      </c>
      <c r="G70" s="331" t="s">
        <v>1052</v>
      </c>
      <c r="H70" s="331" t="s">
        <v>988</v>
      </c>
      <c r="I70" s="331" t="s">
        <v>955</v>
      </c>
    </row>
    <row r="71" spans="1:9" ht="26.4" customHeight="1" x14ac:dyDescent="0.3">
      <c r="A71" s="331">
        <v>66</v>
      </c>
      <c r="B71" s="331" t="s">
        <v>1053</v>
      </c>
      <c r="C71" s="334" t="s">
        <v>1051</v>
      </c>
      <c r="D71" s="331" t="s">
        <v>943</v>
      </c>
      <c r="E71" s="343" t="s">
        <v>962</v>
      </c>
      <c r="F71" s="330">
        <v>11</v>
      </c>
      <c r="G71" s="331" t="s">
        <v>1052</v>
      </c>
      <c r="H71" s="331" t="s">
        <v>988</v>
      </c>
      <c r="I71" s="331" t="s">
        <v>955</v>
      </c>
    </row>
    <row r="72" spans="1:9" ht="26.4" customHeight="1" x14ac:dyDescent="0.3">
      <c r="A72" s="331">
        <v>67</v>
      </c>
      <c r="B72" s="331" t="s">
        <v>1054</v>
      </c>
      <c r="C72" s="334" t="s">
        <v>1051</v>
      </c>
      <c r="D72" s="331" t="s">
        <v>1025</v>
      </c>
      <c r="E72" s="343" t="s">
        <v>962</v>
      </c>
      <c r="F72" s="330">
        <v>14</v>
      </c>
      <c r="G72" s="331" t="s">
        <v>1052</v>
      </c>
      <c r="H72" s="331" t="s">
        <v>988</v>
      </c>
      <c r="I72" s="331" t="s">
        <v>955</v>
      </c>
    </row>
    <row r="73" spans="1:9" ht="26.4" customHeight="1" x14ac:dyDescent="0.3">
      <c r="A73" s="331">
        <v>68</v>
      </c>
      <c r="B73" s="331" t="s">
        <v>1055</v>
      </c>
      <c r="C73" s="334" t="s">
        <v>1051</v>
      </c>
      <c r="D73" s="331" t="s">
        <v>972</v>
      </c>
      <c r="E73" s="343" t="s">
        <v>962</v>
      </c>
      <c r="F73" s="330">
        <v>13</v>
      </c>
      <c r="G73" s="331" t="s">
        <v>1052</v>
      </c>
      <c r="H73" s="331" t="s">
        <v>950</v>
      </c>
      <c r="I73" s="331" t="s">
        <v>955</v>
      </c>
    </row>
    <row r="74" spans="1:9" ht="26.4" customHeight="1" x14ac:dyDescent="0.3">
      <c r="A74" s="331">
        <v>69</v>
      </c>
      <c r="B74" s="331" t="s">
        <v>1056</v>
      </c>
      <c r="C74" s="334" t="s">
        <v>1051</v>
      </c>
      <c r="D74" s="331" t="s">
        <v>1057</v>
      </c>
      <c r="E74" s="343" t="s">
        <v>962</v>
      </c>
      <c r="F74" s="330">
        <v>10</v>
      </c>
      <c r="G74" s="331" t="s">
        <v>1052</v>
      </c>
      <c r="H74" s="331" t="s">
        <v>950</v>
      </c>
      <c r="I74" s="331" t="s">
        <v>955</v>
      </c>
    </row>
    <row r="75" spans="1:9" ht="26.4" customHeight="1" x14ac:dyDescent="0.3">
      <c r="A75" s="331">
        <v>70</v>
      </c>
      <c r="B75" s="331" t="s">
        <v>1058</v>
      </c>
      <c r="C75" s="334" t="s">
        <v>1051</v>
      </c>
      <c r="D75" s="331" t="s">
        <v>1059</v>
      </c>
      <c r="E75" s="343" t="s">
        <v>962</v>
      </c>
      <c r="F75" s="330">
        <v>9</v>
      </c>
      <c r="G75" s="331" t="s">
        <v>1052</v>
      </c>
      <c r="H75" s="331"/>
      <c r="I75" s="331" t="s">
        <v>955</v>
      </c>
    </row>
    <row r="76" spans="1:9" ht="26.4" customHeight="1" x14ac:dyDescent="0.3">
      <c r="A76" s="331">
        <v>71</v>
      </c>
      <c r="B76" s="331" t="s">
        <v>1060</v>
      </c>
      <c r="C76" s="334" t="s">
        <v>1051</v>
      </c>
      <c r="D76" s="331" t="s">
        <v>948</v>
      </c>
      <c r="E76" s="343" t="s">
        <v>962</v>
      </c>
      <c r="F76" s="330">
        <v>9</v>
      </c>
      <c r="G76" s="331" t="s">
        <v>1052</v>
      </c>
      <c r="H76" s="331"/>
      <c r="I76" s="331" t="s">
        <v>955</v>
      </c>
    </row>
    <row r="77" spans="1:9" ht="26.4" customHeight="1" x14ac:dyDescent="0.3">
      <c r="A77" s="331">
        <v>72</v>
      </c>
      <c r="B77" s="331" t="s">
        <v>1061</v>
      </c>
      <c r="C77" s="334" t="s">
        <v>1051</v>
      </c>
      <c r="D77" s="331" t="s">
        <v>1062</v>
      </c>
      <c r="E77" s="343" t="s">
        <v>962</v>
      </c>
      <c r="F77" s="330">
        <v>5</v>
      </c>
      <c r="G77" s="331" t="s">
        <v>1052</v>
      </c>
      <c r="H77" s="331"/>
      <c r="I77" s="331" t="s">
        <v>955</v>
      </c>
    </row>
    <row r="78" spans="1:9" ht="26.4" customHeight="1" x14ac:dyDescent="0.3">
      <c r="A78" s="331">
        <v>73</v>
      </c>
      <c r="B78" s="331" t="s">
        <v>1063</v>
      </c>
      <c r="C78" s="331" t="s">
        <v>1051</v>
      </c>
      <c r="D78" s="331" t="s">
        <v>961</v>
      </c>
      <c r="E78" s="331" t="s">
        <v>1009</v>
      </c>
      <c r="F78" s="331">
        <v>21</v>
      </c>
      <c r="G78" s="331" t="s">
        <v>1064</v>
      </c>
      <c r="H78" s="333" t="s">
        <v>954</v>
      </c>
      <c r="I78" s="333" t="s">
        <v>955</v>
      </c>
    </row>
    <row r="79" spans="1:9" ht="26.4" customHeight="1" x14ac:dyDescent="0.3">
      <c r="A79" s="331">
        <v>74</v>
      </c>
      <c r="B79" s="331" t="s">
        <v>1065</v>
      </c>
      <c r="C79" s="331" t="s">
        <v>1051</v>
      </c>
      <c r="D79" s="331" t="s">
        <v>972</v>
      </c>
      <c r="E79" s="331" t="s">
        <v>1009</v>
      </c>
      <c r="F79" s="331">
        <v>14</v>
      </c>
      <c r="G79" s="331" t="s">
        <v>1066</v>
      </c>
      <c r="H79" s="333" t="s">
        <v>950</v>
      </c>
      <c r="I79" s="333" t="s">
        <v>955</v>
      </c>
    </row>
    <row r="80" spans="1:9" ht="26.4" customHeight="1" x14ac:dyDescent="0.3">
      <c r="A80" s="331">
        <v>75</v>
      </c>
      <c r="B80" s="331" t="s">
        <v>1067</v>
      </c>
      <c r="C80" s="331" t="s">
        <v>1068</v>
      </c>
      <c r="D80" s="331" t="s">
        <v>1069</v>
      </c>
      <c r="E80" s="331" t="s">
        <v>1009</v>
      </c>
      <c r="F80" s="331">
        <v>4</v>
      </c>
      <c r="G80" s="331" t="s">
        <v>1066</v>
      </c>
      <c r="H80" s="336" t="s">
        <v>950</v>
      </c>
      <c r="I80" s="333" t="s">
        <v>955</v>
      </c>
    </row>
    <row r="81" spans="1:9" ht="26.4" customHeight="1" x14ac:dyDescent="0.3">
      <c r="A81" s="331">
        <v>76</v>
      </c>
      <c r="B81" s="331" t="s">
        <v>1070</v>
      </c>
      <c r="C81" s="331" t="s">
        <v>1071</v>
      </c>
      <c r="D81" s="331" t="s">
        <v>961</v>
      </c>
      <c r="E81" s="331" t="s">
        <v>1009</v>
      </c>
      <c r="F81" s="331">
        <v>22</v>
      </c>
      <c r="G81" s="331" t="s">
        <v>1064</v>
      </c>
      <c r="H81" s="333" t="s">
        <v>954</v>
      </c>
      <c r="I81" s="333" t="s">
        <v>955</v>
      </c>
    </row>
    <row r="82" spans="1:9" ht="26.4" customHeight="1" x14ac:dyDescent="0.3">
      <c r="A82" s="331">
        <v>77</v>
      </c>
      <c r="B82" s="331" t="s">
        <v>1072</v>
      </c>
      <c r="C82" s="331" t="s">
        <v>1071</v>
      </c>
      <c r="D82" s="331" t="s">
        <v>1073</v>
      </c>
      <c r="E82" s="331" t="s">
        <v>1009</v>
      </c>
      <c r="F82" s="331" t="s">
        <v>1074</v>
      </c>
      <c r="G82" s="331" t="s">
        <v>1066</v>
      </c>
      <c r="H82" s="333" t="s">
        <v>950</v>
      </c>
      <c r="I82" s="333" t="s">
        <v>955</v>
      </c>
    </row>
    <row r="83" spans="1:9" ht="26.4" customHeight="1" x14ac:dyDescent="0.3">
      <c r="A83" s="331">
        <v>78</v>
      </c>
      <c r="B83" s="331" t="s">
        <v>1075</v>
      </c>
      <c r="C83" s="334">
        <v>46235</v>
      </c>
      <c r="D83" s="331" t="s">
        <v>961</v>
      </c>
      <c r="E83" s="344" t="s">
        <v>962</v>
      </c>
      <c r="F83" s="331">
        <v>23</v>
      </c>
      <c r="G83" s="331" t="s">
        <v>1076</v>
      </c>
      <c r="H83" s="331" t="s">
        <v>988</v>
      </c>
      <c r="I83" s="331" t="s">
        <v>913</v>
      </c>
    </row>
    <row r="84" spans="1:9" ht="26.4" customHeight="1" x14ac:dyDescent="0.3">
      <c r="A84" s="331">
        <v>79</v>
      </c>
      <c r="B84" s="331" t="s">
        <v>1077</v>
      </c>
      <c r="C84" s="331" t="s">
        <v>1078</v>
      </c>
      <c r="D84" s="331" t="s">
        <v>919</v>
      </c>
      <c r="E84" s="345" t="s">
        <v>962</v>
      </c>
      <c r="F84" s="331">
        <v>16</v>
      </c>
      <c r="G84" s="331" t="s">
        <v>1076</v>
      </c>
      <c r="H84" s="331" t="s">
        <v>950</v>
      </c>
      <c r="I84" s="331" t="s">
        <v>913</v>
      </c>
    </row>
    <row r="94" spans="1:9" x14ac:dyDescent="0.3">
      <c r="E94" t="s">
        <v>748</v>
      </c>
    </row>
  </sheetData>
  <mergeCells count="3">
    <mergeCell ref="A3:I3"/>
    <mergeCell ref="A11:I11"/>
    <mergeCell ref="A57:I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График ИД</vt:lpstr>
      <vt:lpstr>ИД труба</vt:lpstr>
      <vt:lpstr>ИД труба в плане</vt:lpstr>
      <vt:lpstr>График ИД по папкам</vt:lpstr>
      <vt:lpstr>ИД архив</vt:lpstr>
      <vt:lpstr>ИЗМЫ ПД</vt:lpstr>
      <vt:lpstr>'График ИД'!Заголовки_для_печати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Моисеев Виталий Иванович</dc:creator>
  <cp:lastModifiedBy>Рунин Александр Александрович</cp:lastModifiedBy>
  <cp:lastPrinted>2026-02-24T04:25:03Z</cp:lastPrinted>
  <dcterms:created xsi:type="dcterms:W3CDTF">2015-06-05T18:19:34Z</dcterms:created>
  <dcterms:modified xsi:type="dcterms:W3CDTF">2026-09-01T06:32:59Z</dcterms:modified>
</cp:coreProperties>
</file>